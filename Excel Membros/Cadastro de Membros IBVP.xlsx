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 de Mebros IBVP" sheetId="1" r:id="rId4"/>
  </sheets>
  <definedNames>
    <definedName hidden="1" localSheetId="0" name="_xlnm._FilterDatabase">'Cadastro de Mebros IBVP'!$A$1:$AB$151</definedName>
  </definedNames>
  <calcPr/>
</workbook>
</file>

<file path=xl/sharedStrings.xml><?xml version="1.0" encoding="utf-8"?>
<sst xmlns="http://schemas.openxmlformats.org/spreadsheetml/2006/main" count="2463" uniqueCount="431">
  <si>
    <t>Carimbo de data/hora</t>
  </si>
  <si>
    <t>Id</t>
  </si>
  <si>
    <t>nome</t>
  </si>
  <si>
    <t>Nome Completo</t>
  </si>
  <si>
    <t>data_nascimento</t>
  </si>
  <si>
    <t>idade</t>
  </si>
  <si>
    <t>mes</t>
  </si>
  <si>
    <t>telefone</t>
  </si>
  <si>
    <t>sexo</t>
  </si>
  <si>
    <t>observacoes</t>
  </si>
  <si>
    <t>status_civil</t>
  </si>
  <si>
    <t xml:space="preserve">nome_conjuge </t>
  </si>
  <si>
    <t xml:space="preserve">parentesco </t>
  </si>
  <si>
    <t>rua</t>
  </si>
  <si>
    <t>numero</t>
  </si>
  <si>
    <t>bairro</t>
  </si>
  <si>
    <t>cidade</t>
  </si>
  <si>
    <t>estado</t>
  </si>
  <si>
    <t>cep</t>
  </si>
  <si>
    <t>batizado</t>
  </si>
  <si>
    <t>membro</t>
  </si>
  <si>
    <t>situacao_atual</t>
  </si>
  <si>
    <t>e_lider</t>
  </si>
  <si>
    <t xml:space="preserve">e_professor_ebq
</t>
  </si>
  <si>
    <t xml:space="preserve">faixa_etaria </t>
  </si>
  <si>
    <t>Está em um pequeno grupo ?</t>
  </si>
  <si>
    <t>grupo</t>
  </si>
  <si>
    <t>numerodomes</t>
  </si>
  <si>
    <t>ABNER ABADIS LIMA</t>
  </si>
  <si>
    <t>Masculino</t>
  </si>
  <si>
    <t>Solteiro(a)</t>
  </si>
  <si>
    <t xml:space="preserve">JILVANETE LIMA DOS SANTOS </t>
  </si>
  <si>
    <t xml:space="preserve">HORIZONTE FELIZ </t>
  </si>
  <si>
    <t>02</t>
  </si>
  <si>
    <t xml:space="preserve">CAMPINA GRANDE </t>
  </si>
  <si>
    <t>Cariacica</t>
  </si>
  <si>
    <t>ES</t>
  </si>
  <si>
    <t>Não</t>
  </si>
  <si>
    <t>Ativo</t>
  </si>
  <si>
    <t>0 a 6 anos: Infância</t>
  </si>
  <si>
    <t>Sem Grupo</t>
  </si>
  <si>
    <t>ADASSA VALENTINA CRUZ DE SOUSA</t>
  </si>
  <si>
    <t>Feminino</t>
  </si>
  <si>
    <t>ADELIDIA DE AZEVEDO CRUZ</t>
  </si>
  <si>
    <t>BOM PASTOR</t>
  </si>
  <si>
    <t>Campo Grande</t>
  </si>
  <si>
    <t>29146-060</t>
  </si>
  <si>
    <t>Sim</t>
  </si>
  <si>
    <t>11 a 17 anos: Adolescente</t>
  </si>
  <si>
    <t>Casado(a)</t>
  </si>
  <si>
    <t>CARLOS WEBERSON DE SOUSA</t>
  </si>
  <si>
    <t>36 a 59 anos: Adulto</t>
  </si>
  <si>
    <t xml:space="preserve">Alberto Claro Júnior </t>
  </si>
  <si>
    <t xml:space="preserve">Verônica da Silva Alves Claro </t>
  </si>
  <si>
    <t xml:space="preserve">Ressurreição </t>
  </si>
  <si>
    <t xml:space="preserve">Vila Palestina </t>
  </si>
  <si>
    <t xml:space="preserve">Aldeny Ferreira de Oliveira Sousa </t>
  </si>
  <si>
    <t>(27) 998738834</t>
  </si>
  <si>
    <t>Maciel de Araújo Sousa</t>
  </si>
  <si>
    <t xml:space="preserve">Porto Seguro </t>
  </si>
  <si>
    <t xml:space="preserve">Tiradentes </t>
  </si>
  <si>
    <t xml:space="preserve">Alício de Souza Pereira </t>
  </si>
  <si>
    <t xml:space="preserve">Mara Lucia Tavares Pereira </t>
  </si>
  <si>
    <t xml:space="preserve">Monte Calvário </t>
  </si>
  <si>
    <t>03</t>
  </si>
  <si>
    <t>60+ anos</t>
  </si>
  <si>
    <t xml:space="preserve">Amanda de Oliveira Sousa </t>
  </si>
  <si>
    <t xml:space="preserve">Layson Paulo dos Reis </t>
  </si>
  <si>
    <t xml:space="preserve">Rua Porto seguro </t>
  </si>
  <si>
    <t>18 a 35 anos: Jovem</t>
  </si>
  <si>
    <t xml:space="preserve">Amanda Ronquetti da Silva Lima </t>
  </si>
  <si>
    <t>Gildazio Lima dos Santos</t>
  </si>
  <si>
    <t xml:space="preserve">Edilene Ronquetti </t>
  </si>
  <si>
    <t>O</t>
  </si>
  <si>
    <t>06</t>
  </si>
  <si>
    <t>Campo verde</t>
  </si>
  <si>
    <t>Viana</t>
  </si>
  <si>
    <t xml:space="preserve">Ana Gabrielly Rosa Rocha </t>
  </si>
  <si>
    <t xml:space="preserve">Bruna Lorrani Rocha Mousinho </t>
  </si>
  <si>
    <t xml:space="preserve">Ametista </t>
  </si>
  <si>
    <t xml:space="preserve">São Geraldo </t>
  </si>
  <si>
    <t xml:space="preserve">Ana Luiza Souza Matos Moura </t>
  </si>
  <si>
    <t xml:space="preserve">Bruna Luiza Souza Silva de Jesus </t>
  </si>
  <si>
    <t xml:space="preserve">Rua São Benedito </t>
  </si>
  <si>
    <t xml:space="preserve">Cruzeiro do Sul </t>
  </si>
  <si>
    <t>7 a 10 anos: Criança</t>
  </si>
  <si>
    <t>Anderson Presenza Lima</t>
  </si>
  <si>
    <t xml:space="preserve">Rebeca Arantes Alves Presenza </t>
  </si>
  <si>
    <t xml:space="preserve">São João </t>
  </si>
  <si>
    <t>38bf</t>
  </si>
  <si>
    <t xml:space="preserve">Santo André </t>
  </si>
  <si>
    <t xml:space="preserve">Anny Nicolly de Souza Paixao </t>
  </si>
  <si>
    <t xml:space="preserve">Lilian de Souza vieira e Willian de Oliveira Souza </t>
  </si>
  <si>
    <t>Nova Rosa da Penha 1</t>
  </si>
  <si>
    <t xml:space="preserve">Antonella vitória Souza de jesus </t>
  </si>
  <si>
    <t xml:space="preserve">Antônio Francisco do Nascimento </t>
  </si>
  <si>
    <t>Terezinha Fontes</t>
  </si>
  <si>
    <t>Esmeralda</t>
  </si>
  <si>
    <t>São Geraldo 1</t>
  </si>
  <si>
    <t>Ayrton Costa de Almeida</t>
  </si>
  <si>
    <t>Veruska Pinto Mouzinho Almeida</t>
  </si>
  <si>
    <t xml:space="preserve">Otávio Cardoso de Alcântara </t>
  </si>
  <si>
    <t>Santa Fe</t>
  </si>
  <si>
    <t>Benício Alves Nascimento</t>
  </si>
  <si>
    <t>apt 302</t>
  </si>
  <si>
    <t>Miria Alves da Silva Nascimento</t>
  </si>
  <si>
    <t>Ametista</t>
  </si>
  <si>
    <t>29146-680</t>
  </si>
  <si>
    <t xml:space="preserve">Bento Honori Dondoni </t>
  </si>
  <si>
    <t>Thamyres Coelho e Gabriel Dondoni</t>
  </si>
  <si>
    <t xml:space="preserve">Guarapari </t>
  </si>
  <si>
    <t xml:space="preserve">Vista Dourada </t>
  </si>
  <si>
    <t xml:space="preserve">Bernardo Tavares Pereira </t>
  </si>
  <si>
    <t>29145-760</t>
  </si>
  <si>
    <t xml:space="preserve">Bruna Lorrani Rocha Mousinho Viana </t>
  </si>
  <si>
    <t xml:space="preserve">Guilherme dos Passos Siqueira Viana </t>
  </si>
  <si>
    <t xml:space="preserve">Edilson Azevedo de Jesus </t>
  </si>
  <si>
    <t xml:space="preserve">São Benedito </t>
  </si>
  <si>
    <t xml:space="preserve">Bruna Will monteiro costa dias </t>
  </si>
  <si>
    <t>SIDNEI NOGUEIRA DIAS</t>
  </si>
  <si>
    <t>Abílio pontini</t>
  </si>
  <si>
    <t>São Geraldo 2</t>
  </si>
  <si>
    <t xml:space="preserve">Cecília de Andrade Pereira </t>
  </si>
  <si>
    <t>Crislayne (Mãe) Christian (Pai)</t>
  </si>
  <si>
    <t xml:space="preserve">Pavão </t>
  </si>
  <si>
    <t xml:space="preserve">São Conrado </t>
  </si>
  <si>
    <t>Christian da Silva Pereira</t>
  </si>
  <si>
    <t>Crislayne Pereira</t>
  </si>
  <si>
    <t xml:space="preserve">Christofer de Andrade Pereira </t>
  </si>
  <si>
    <t>Christian (Pai) Crislayne (Mãe)</t>
  </si>
  <si>
    <t>CHRISTOPHER ASAFE CRUZ DE SOUSA</t>
  </si>
  <si>
    <t xml:space="preserve">ADELIDIA DE AZEVEDO CRUZ </t>
  </si>
  <si>
    <t xml:space="preserve">BOM PASTOR </t>
  </si>
  <si>
    <t xml:space="preserve">Cleber de jesus Sepulcro </t>
  </si>
  <si>
    <t xml:space="preserve">Rina Mendonça Gomes </t>
  </si>
  <si>
    <t xml:space="preserve">Claricio Alves Ribeiro </t>
  </si>
  <si>
    <t xml:space="preserve">Itanguá </t>
  </si>
  <si>
    <t xml:space="preserve">Crislayne de Souza Andrade Pereira </t>
  </si>
  <si>
    <t xml:space="preserve">Christian da Silva Pereira </t>
  </si>
  <si>
    <t xml:space="preserve">Daniel Santiago Neris </t>
  </si>
  <si>
    <t xml:space="preserve">Suelen viera de Rezende </t>
  </si>
  <si>
    <t xml:space="preserve">Davi de Lima Azevedo </t>
  </si>
  <si>
    <t xml:space="preserve">Joseph das Neves Azevedo </t>
  </si>
  <si>
    <t>Bela Vista</t>
  </si>
  <si>
    <t xml:space="preserve">Arlindo Vilaschi </t>
  </si>
  <si>
    <t xml:space="preserve">Davi Souza Matos Moura </t>
  </si>
  <si>
    <t>Diego Sarmento Lopes</t>
  </si>
  <si>
    <t>Laís Lopes</t>
  </si>
  <si>
    <t>Boa Vista</t>
  </si>
  <si>
    <t>São Benedito</t>
  </si>
  <si>
    <t>EDERSON FLÁVIO DA SILVA</t>
  </si>
  <si>
    <t>LETÍCIA CALLOT PINTO DA SILVA</t>
  </si>
  <si>
    <t>Itabira</t>
  </si>
  <si>
    <t>Odonia da Costa Machado Toledo</t>
  </si>
  <si>
    <t>Santa Barbara</t>
  </si>
  <si>
    <t>29.144 375</t>
  </si>
  <si>
    <t xml:space="preserve">Elita da Penha Pego Pereira </t>
  </si>
  <si>
    <t xml:space="preserve">Jair alves Pereira </t>
  </si>
  <si>
    <t>São João  do Acre</t>
  </si>
  <si>
    <t>Vila palestina</t>
  </si>
  <si>
    <t>Desligado</t>
  </si>
  <si>
    <t xml:space="preserve">Eloáh de Souza Moreira </t>
  </si>
  <si>
    <t xml:space="preserve">Thayná de Souza Dutra e Matheus Henrique de Souza Moreira </t>
  </si>
  <si>
    <t xml:space="preserve">Avenida Espirito Santo </t>
  </si>
  <si>
    <t xml:space="preserve">Jardim Campo Grande </t>
  </si>
  <si>
    <t>29141-459</t>
  </si>
  <si>
    <t>Emanuel Mouzinho Almeida</t>
  </si>
  <si>
    <t xml:space="preserve">Emanuela Souza Silva Novais </t>
  </si>
  <si>
    <t>Emilia Anselmo Fernandes</t>
  </si>
  <si>
    <t>dos milagres</t>
  </si>
  <si>
    <t>Vila Palestina</t>
  </si>
  <si>
    <t xml:space="preserve">Erielton De paula Melo </t>
  </si>
  <si>
    <t xml:space="preserve">Schaiany Pimentel Santa Clara de Paula </t>
  </si>
  <si>
    <t>Das papoulas</t>
  </si>
  <si>
    <t>Santo André</t>
  </si>
  <si>
    <t>29144-657</t>
  </si>
  <si>
    <t xml:space="preserve">Evellyn Will monteiro costa dias </t>
  </si>
  <si>
    <t xml:space="preserve">Bruna Will </t>
  </si>
  <si>
    <t xml:space="preserve">Abílio pontini </t>
  </si>
  <si>
    <t xml:space="preserve">São Geraldo 2 </t>
  </si>
  <si>
    <t xml:space="preserve">Evelyn Santa Clara De Paula </t>
  </si>
  <si>
    <t>Das Papoulas</t>
  </si>
  <si>
    <t xml:space="preserve">Fábio Nunes Ferreira </t>
  </si>
  <si>
    <t xml:space="preserve">Scheila A. Torezani Ferreira </t>
  </si>
  <si>
    <t xml:space="preserve">Da comunidade </t>
  </si>
  <si>
    <t xml:space="preserve">Rosa da Penha </t>
  </si>
  <si>
    <t xml:space="preserve">Flávio Siqueira </t>
  </si>
  <si>
    <t xml:space="preserve">Joscileia Ferreira </t>
  </si>
  <si>
    <t xml:space="preserve">29143-508 </t>
  </si>
  <si>
    <t xml:space="preserve">Gabriel Dondoni Alves </t>
  </si>
  <si>
    <t xml:space="preserve">Thamyres Coelho Dondoni </t>
  </si>
  <si>
    <t>Gabrielle Rocha Da Silva</t>
  </si>
  <si>
    <t>Maria Helena Rocha</t>
  </si>
  <si>
    <t>Elizabeth 2</t>
  </si>
  <si>
    <t xml:space="preserve">Universal </t>
  </si>
  <si>
    <t>GETÚLIO SILVA CORREA</t>
  </si>
  <si>
    <t>AV. PALESTINA</t>
  </si>
  <si>
    <t>VILA PALESTINA</t>
  </si>
  <si>
    <t xml:space="preserve">Gildazio lima dos santos </t>
  </si>
  <si>
    <t>Amanda Ronquetti</t>
  </si>
  <si>
    <t xml:space="preserve">Campo verde </t>
  </si>
  <si>
    <t xml:space="preserve">Gilmara Anselmo Fernandes </t>
  </si>
  <si>
    <t xml:space="preserve">GLÊNIO ABADIS DOS SANTOS </t>
  </si>
  <si>
    <t xml:space="preserve">Grezieli Rocha Mousinho </t>
  </si>
  <si>
    <t xml:space="preserve">Jhonatan de Souza Andrade </t>
  </si>
  <si>
    <t xml:space="preserve">Crisólito </t>
  </si>
  <si>
    <t xml:space="preserve">Guilherme da Silva Alves </t>
  </si>
  <si>
    <t xml:space="preserve">Lorranhe da Silva mãe </t>
  </si>
  <si>
    <t xml:space="preserve">Independência </t>
  </si>
  <si>
    <t>Bruna Lorrani Rocha Mousinho Viana</t>
  </si>
  <si>
    <t xml:space="preserve">Heitor Fernandes da Cruz </t>
  </si>
  <si>
    <t>Namorado da Maria Clara</t>
  </si>
  <si>
    <t xml:space="preserve">Andreia Fernandes Machado risso </t>
  </si>
  <si>
    <t xml:space="preserve">nossa senhora Aparecida </t>
  </si>
  <si>
    <t>29146-653</t>
  </si>
  <si>
    <t xml:space="preserve">Hilda Ferreira de Oliveira </t>
  </si>
  <si>
    <t>Viuva</t>
  </si>
  <si>
    <t xml:space="preserve">Jair Alves Pereira </t>
  </si>
  <si>
    <t xml:space="preserve">São João do Acre </t>
  </si>
  <si>
    <t xml:space="preserve">Vila palestina </t>
  </si>
  <si>
    <t xml:space="preserve">Jean Carlos Bergamini </t>
  </si>
  <si>
    <t xml:space="preserve">Maria José Bergamini </t>
  </si>
  <si>
    <t xml:space="preserve">Itabira </t>
  </si>
  <si>
    <t>Jhonatan de Souza Andrade</t>
  </si>
  <si>
    <t>Grezieli Rocha Mousinho Andrade</t>
  </si>
  <si>
    <t>Orizonte feliz</t>
  </si>
  <si>
    <t>Campina Grande</t>
  </si>
  <si>
    <t xml:space="preserve">João Pedro de Oliveira Mota </t>
  </si>
  <si>
    <t>Neudimar de oliveira mota</t>
  </si>
  <si>
    <t xml:space="preserve">Evaristo canal </t>
  </si>
  <si>
    <t xml:space="preserve">Ipanema </t>
  </si>
  <si>
    <t xml:space="preserve">Joscileia Ferreira de Oliveira </t>
  </si>
  <si>
    <t>Tiradentes</t>
  </si>
  <si>
    <t>Michelle Cornélio de Lima Azevedo</t>
  </si>
  <si>
    <t xml:space="preserve">Rua Bela Vista </t>
  </si>
  <si>
    <t xml:space="preserve">JOSHUA ADAM CRUZ DE SOUSA </t>
  </si>
  <si>
    <t>Juliano lovatti ramos</t>
  </si>
  <si>
    <t>Miriam da Rocha pina</t>
  </si>
  <si>
    <t>Esposa</t>
  </si>
  <si>
    <t xml:space="preserve">Rua São Luiz </t>
  </si>
  <si>
    <t>Itangua</t>
  </si>
  <si>
    <t xml:space="preserve">Júlio César Sperandio Gouveia </t>
  </si>
  <si>
    <t>027996673447</t>
  </si>
  <si>
    <t xml:space="preserve">Layane Ferreira de Morais </t>
  </si>
  <si>
    <t xml:space="preserve">Morada de santa fé </t>
  </si>
  <si>
    <t xml:space="preserve">Kalebe Henrique Souza Matos Moura </t>
  </si>
  <si>
    <t xml:space="preserve">Karoline Marianelli de Souza </t>
  </si>
  <si>
    <t xml:space="preserve">Cruzadas </t>
  </si>
  <si>
    <t>29145-820</t>
  </si>
  <si>
    <t xml:space="preserve">Kesya pereira de oliveira lira Queiroz </t>
  </si>
  <si>
    <t xml:space="preserve">Luiz Fernando Silva Queiroz lira </t>
  </si>
  <si>
    <t xml:space="preserve">Esposa </t>
  </si>
  <si>
    <t xml:space="preserve">São Paulo dos apóstolos </t>
  </si>
  <si>
    <t>Tucum</t>
  </si>
  <si>
    <t xml:space="preserve">Lais Maria Pereira da Cruz </t>
  </si>
  <si>
    <t xml:space="preserve">Lindalva de Castro Pereira da Cruz </t>
  </si>
  <si>
    <t xml:space="preserve">Av Glauber Rocha </t>
  </si>
  <si>
    <t>Laís Martins Monteiro Lopes</t>
  </si>
  <si>
    <t>Diego Lopes</t>
  </si>
  <si>
    <t>Lara Pereira Lima</t>
  </si>
  <si>
    <t xml:space="preserve">Rafaella Pereira Soares </t>
  </si>
  <si>
    <t>São João</t>
  </si>
  <si>
    <t>Larissa Ferreira de Morais Paulino</t>
  </si>
  <si>
    <t xml:space="preserve">Flavio Paulino </t>
  </si>
  <si>
    <t>Porto Seguro</t>
  </si>
  <si>
    <t xml:space="preserve">Larissa Theodoro da Silva </t>
  </si>
  <si>
    <t xml:space="preserve">Richardson Silva Lopes </t>
  </si>
  <si>
    <t xml:space="preserve">Itaguaçu </t>
  </si>
  <si>
    <t xml:space="preserve">Morada de Santa Fé </t>
  </si>
  <si>
    <t>Laura de Lima Azevedo</t>
  </si>
  <si>
    <t>Joseph das Neves Azevedo</t>
  </si>
  <si>
    <t xml:space="preserve">Bela Vista </t>
  </si>
  <si>
    <t>Laura rolim herpet</t>
  </si>
  <si>
    <t>027999171122</t>
  </si>
  <si>
    <t xml:space="preserve">Mayra da silva rolim herpet </t>
  </si>
  <si>
    <t xml:space="preserve">Aparecida </t>
  </si>
  <si>
    <t>Lavínia Monteiro Lopes</t>
  </si>
  <si>
    <t>Diego e Lais Lopes</t>
  </si>
  <si>
    <t xml:space="preserve">Leonardo Adame Freire </t>
  </si>
  <si>
    <t xml:space="preserve">Maria Alda Alves de Souza </t>
  </si>
  <si>
    <t xml:space="preserve">Dos Jacarandá </t>
  </si>
  <si>
    <t>20 B</t>
  </si>
  <si>
    <t xml:space="preserve">Parque gramado </t>
  </si>
  <si>
    <t xml:space="preserve">itabira </t>
  </si>
  <si>
    <t>Levindo Lucas da Cruz Neto</t>
  </si>
  <si>
    <t xml:space="preserve">Avenida Glauber Rocha </t>
  </si>
  <si>
    <t xml:space="preserve">Lilian de Souza Vieira </t>
  </si>
  <si>
    <t xml:space="preserve">Willian de Oliveira souza </t>
  </si>
  <si>
    <t xml:space="preserve">Nova Rosa Da Penha 1 </t>
  </si>
  <si>
    <t>Lorrainhe da silva</t>
  </si>
  <si>
    <t>Divorciada</t>
  </si>
  <si>
    <t xml:space="preserve">Cruzeiro do sul </t>
  </si>
  <si>
    <t>Lucas Amado Dos Reis</t>
  </si>
  <si>
    <t>Gilmar José e Geovana De Souza</t>
  </si>
  <si>
    <t xml:space="preserve">Cruzeiro Do Sul </t>
  </si>
  <si>
    <t xml:space="preserve">Luisa cassiano borges </t>
  </si>
  <si>
    <t xml:space="preserve">Tiago Dias </t>
  </si>
  <si>
    <t xml:space="preserve">Paulo dos apóstolos </t>
  </si>
  <si>
    <t xml:space="preserve">29152-395 </t>
  </si>
  <si>
    <t>Kesya pereira lira de oliveira Queiroz</t>
  </si>
  <si>
    <t xml:space="preserve">Tucum </t>
  </si>
  <si>
    <t xml:space="preserve">Maciel de Araujo Sousa </t>
  </si>
  <si>
    <t>(27)995033109</t>
  </si>
  <si>
    <t xml:space="preserve">Porto seguro </t>
  </si>
  <si>
    <t xml:space="preserve">Manoela Tavares Pereira </t>
  </si>
  <si>
    <t xml:space="preserve">Alívio de Souza Pereira </t>
  </si>
  <si>
    <t>Maria abadis dos santos</t>
  </si>
  <si>
    <t xml:space="preserve">Campina grande </t>
  </si>
  <si>
    <t xml:space="preserve">Leonardo Adame freire </t>
  </si>
  <si>
    <t xml:space="preserve">jacaranda </t>
  </si>
  <si>
    <t xml:space="preserve">Parque Gramado </t>
  </si>
  <si>
    <t xml:space="preserve">Maria Clara Mendonça Colonetti </t>
  </si>
  <si>
    <t>Claricio Alves Ribeiro</t>
  </si>
  <si>
    <t>Itanguá</t>
  </si>
  <si>
    <t xml:space="preserve">29149-800 </t>
  </si>
  <si>
    <t xml:space="preserve">Maria Eduarda monteiro Otávio </t>
  </si>
  <si>
    <t>Dayane monteiro costa</t>
  </si>
  <si>
    <t>Data de registro 15/04/1976 / Divorciada</t>
  </si>
  <si>
    <t xml:space="preserve">Efigenio coelho </t>
  </si>
  <si>
    <t xml:space="preserve">Maricelia da Cruz Izidoro Arantes Alves </t>
  </si>
  <si>
    <t>condomínio parque Vila Platina. Bloco 04 AP 506</t>
  </si>
  <si>
    <t xml:space="preserve">Odair Arantes Alves </t>
  </si>
  <si>
    <t xml:space="preserve">Marilza Oliveira da Costa Almeida </t>
  </si>
  <si>
    <t>Beraldino de Almeida Filho</t>
  </si>
  <si>
    <t>Marli do Carmo da Silva Rolim</t>
  </si>
  <si>
    <t>Pedro Marcos Rolim</t>
  </si>
  <si>
    <t xml:space="preserve">Nossa Senhora Aparecida </t>
  </si>
  <si>
    <t xml:space="preserve">Marvin rolim herpet </t>
  </si>
  <si>
    <t xml:space="preserve">Matheus Henrique de Souza Moreira </t>
  </si>
  <si>
    <t xml:space="preserve">Thayná de Souza Dutra </t>
  </si>
  <si>
    <t>Matheus Souza Cruz</t>
  </si>
  <si>
    <t>Shauany Souza Gomes Cruz</t>
  </si>
  <si>
    <t>Dos Apostolos</t>
  </si>
  <si>
    <t>Mayra Da silva rolim herpet</t>
  </si>
  <si>
    <t xml:space="preserve">Geovanny herpet Pereira </t>
  </si>
  <si>
    <t>Aparecida</t>
  </si>
  <si>
    <t xml:space="preserve">Micaele Rocha Rosa </t>
  </si>
  <si>
    <t xml:space="preserve">Miguel Will monteiro costa dias </t>
  </si>
  <si>
    <t>Milena Alves Nascimento</t>
  </si>
  <si>
    <t>29146-679</t>
  </si>
  <si>
    <t xml:space="preserve">Miria Alves da Silva Nascimento </t>
  </si>
  <si>
    <t>Rondiney Nascimento</t>
  </si>
  <si>
    <t>29146-678</t>
  </si>
  <si>
    <t xml:space="preserve">Miriam da Rocha Pina </t>
  </si>
  <si>
    <t xml:space="preserve">Juliano Lovatti Ramos </t>
  </si>
  <si>
    <t xml:space="preserve">Esposo </t>
  </si>
  <si>
    <t>Nathan Ronquetti Lima</t>
  </si>
  <si>
    <t>Ubiranel da Silveira Mota</t>
  </si>
  <si>
    <t xml:space="preserve">Nilson fraga Celestino </t>
  </si>
  <si>
    <t xml:space="preserve">Vasthi ferreira Gomes fraga </t>
  </si>
  <si>
    <t xml:space="preserve">Atílio Esperandio </t>
  </si>
  <si>
    <t xml:space="preserve">Joana dark </t>
  </si>
  <si>
    <t>Vitória</t>
  </si>
  <si>
    <t>Odair Arantes Alves - Falecido</t>
  </si>
  <si>
    <t>Óbito 17/01/2025</t>
  </si>
  <si>
    <t xml:space="preserve">Campina Grande </t>
  </si>
  <si>
    <t xml:space="preserve">Pedro Marcos Rolim </t>
  </si>
  <si>
    <t>Marli do Carmo Da Silva Rolim</t>
  </si>
  <si>
    <t xml:space="preserve">Pedro Torezani Ferreira </t>
  </si>
  <si>
    <t xml:space="preserve">Protazio Rezende Carvalho </t>
  </si>
  <si>
    <t xml:space="preserve">Thiffany Fernandes de Brito </t>
  </si>
  <si>
    <t xml:space="preserve">Serra da mantiqueira </t>
  </si>
  <si>
    <t xml:space="preserve">Nova Bethânia </t>
  </si>
  <si>
    <t>Rafaella Pereira Soares</t>
  </si>
  <si>
    <t>Mayk Helthon Lima Herzog</t>
  </si>
  <si>
    <t xml:space="preserve">Raquel lima dos santos </t>
  </si>
  <si>
    <t xml:space="preserve">Horizonte feliz </t>
  </si>
  <si>
    <t xml:space="preserve">Anderson Presenza Lima </t>
  </si>
  <si>
    <t>Regina Célia Martins Bastos e Cruz</t>
  </si>
  <si>
    <t>numero da casa 9, (613 pelo GPS)</t>
  </si>
  <si>
    <t>Viúvo(a)</t>
  </si>
  <si>
    <t>Avenida Costa Brandão</t>
  </si>
  <si>
    <t xml:space="preserve">Richardison Silva Lopes </t>
  </si>
  <si>
    <t>Rina Mendonça Gomes - Falecida</t>
  </si>
  <si>
    <t>Óbito 05/10/2025</t>
  </si>
  <si>
    <t>Clebet de Jesus Sepulcro</t>
  </si>
  <si>
    <t xml:space="preserve">Rita de Cassia Rodrigues de paula </t>
  </si>
  <si>
    <t xml:space="preserve">coronel Bráulio dória </t>
  </si>
  <si>
    <t xml:space="preserve">São Cristóvão </t>
  </si>
  <si>
    <t>Roberta Ita rabi</t>
  </si>
  <si>
    <t xml:space="preserve">Rua mina gerais </t>
  </si>
  <si>
    <t>Sn</t>
  </si>
  <si>
    <t xml:space="preserve">29146-677 </t>
  </si>
  <si>
    <t xml:space="preserve">Samuel Torezani Ferreira </t>
  </si>
  <si>
    <t>Erielton De Paula Melo</t>
  </si>
  <si>
    <t xml:space="preserve">Das Papoulas </t>
  </si>
  <si>
    <t xml:space="preserve">Scheila Aparecida Torezani Ferreira </t>
  </si>
  <si>
    <t>Rosa da penha</t>
  </si>
  <si>
    <t xml:space="preserve">Shauany Souza Gomes Cruz </t>
  </si>
  <si>
    <t xml:space="preserve">Matheus Souza Cruz </t>
  </si>
  <si>
    <t xml:space="preserve">Rua dos apóstolos </t>
  </si>
  <si>
    <t>Sidnei nogueira dias</t>
  </si>
  <si>
    <t xml:space="preserve">Suelen vieira de rezende </t>
  </si>
  <si>
    <t>Terezinha fontes</t>
  </si>
  <si>
    <t xml:space="preserve">Thamyres Coelho Cardoso </t>
  </si>
  <si>
    <t>Gabriel Dondoni Alves</t>
  </si>
  <si>
    <t>Guarapari</t>
  </si>
  <si>
    <t xml:space="preserve">Vista dourada </t>
  </si>
  <si>
    <t>Thayná de Souza Dutra</t>
  </si>
  <si>
    <t>Matheus Henrique de Souza Moreira</t>
  </si>
  <si>
    <t>Avenida Espirito Santo</t>
  </si>
  <si>
    <t>Jardim Campo Grande</t>
  </si>
  <si>
    <t>Protazio Rezende Carvalho</t>
  </si>
  <si>
    <t xml:space="preserve">Serra da Mantiqueira </t>
  </si>
  <si>
    <t xml:space="preserve">29138-189 </t>
  </si>
  <si>
    <t xml:space="preserve">Tiago Dias Quaresma França </t>
  </si>
  <si>
    <t xml:space="preserve">Luisa Cassiano Borges Quaresma </t>
  </si>
  <si>
    <t>Rua romana de jesus</t>
  </si>
  <si>
    <t>Ipanema</t>
  </si>
  <si>
    <t xml:space="preserve">Ayrton Costa de Almeida </t>
  </si>
  <si>
    <t>VITOR PINTO DA SILVA</t>
  </si>
  <si>
    <t>EDERSON FLAVIO DA SILVA E LETÍCIA CALLOT PINTO DA SILVA</t>
  </si>
  <si>
    <t>VITÓRIA PINTO DA SILVA</t>
  </si>
  <si>
    <t>EDERSON FLÁVIO DA SILVA E LETÍCIA CALLOT DA SILVA</t>
  </si>
  <si>
    <t xml:space="preserve">Wendel Araújo Fernandes </t>
  </si>
  <si>
    <t xml:space="preserve">Willian de Oliveira Souza </t>
  </si>
  <si>
    <t xml:space="preserve">Luana Ferreira Sperandio </t>
  </si>
  <si>
    <t>Filha</t>
  </si>
  <si>
    <t xml:space="preserve">Lucas Ferreira Sperandio </t>
  </si>
  <si>
    <t>Filho</t>
  </si>
  <si>
    <t xml:space="preserve">Liz Ferreira Paulino </t>
  </si>
  <si>
    <t xml:space="preserve">Sofia de Oliveira Reis </t>
  </si>
  <si>
    <t>(27) 99740-4499</t>
  </si>
  <si>
    <t xml:space="preserve">Rua porto seguro </t>
  </si>
  <si>
    <t xml:space="preserve">John Mousinho Andrade </t>
  </si>
  <si>
    <t xml:space="preserve">Pais: Jhonatan de Souza Andrade e Grezieli Rocha Mousinho Andrade </t>
  </si>
  <si>
    <t xml:space="preserve">Rua crisólito </t>
  </si>
  <si>
    <t xml:space="preserve">Lohanna Oliveira Santos </t>
  </si>
  <si>
    <t xml:space="preserve">Patrício Santos Evangelista </t>
  </si>
  <si>
    <t>Esposo</t>
  </si>
  <si>
    <t xml:space="preserve">Sergipe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</si>
</sst>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&quot;-&quot;mm&quot;-&quot;dd"/>
    <numFmt numFmtId="165" formatCode="00000-000"/>
    <numFmt numFmtId="166" formatCode="m/d/yyyy h:mm:ss"/>
    <numFmt numFmtId="167" formatCode="dd&quot;/&quot;mm&quot;/&quot;yyyy"/>
    <numFmt numFmtId="168" formatCode="(00) 0 0000-0000"/>
    <numFmt numFmtId="169" formatCode="(00) 00000-0000"/>
  </numFmts>
  <fonts count="3">
    <font>
      <sz val="10.0"/>
      <color rgb="FF000000"/>
      <name val="Arial"/>
      <scheme val="minor"/>
    </font>
    <font>
      <b/>
      <color rgb="FF000000"/>
      <name val="Roboto Mono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top" wrapText="0"/>
    </xf>
    <xf borderId="1" fillId="0" fontId="1" numFmtId="164" xfId="0" applyAlignment="1" applyBorder="1" applyFont="1" applyNumberFormat="1">
      <alignment horizontal="left" readingOrder="0" shrinkToFit="0" vertical="top" wrapText="0"/>
    </xf>
    <xf borderId="1" fillId="0" fontId="1" numFmtId="1" xfId="0" applyAlignment="1" applyBorder="1" applyFont="1" applyNumberFormat="1">
      <alignment horizontal="left" readingOrder="0" shrinkToFit="0" vertical="top" wrapText="0"/>
    </xf>
    <xf borderId="1" fillId="0" fontId="1" numFmtId="49" xfId="0" applyAlignment="1" applyBorder="1" applyFont="1" applyNumberForma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top" wrapText="0"/>
    </xf>
    <xf borderId="1" fillId="0" fontId="1" numFmtId="165" xfId="0" applyAlignment="1" applyBorder="1" applyFont="1" applyNumberFormat="1">
      <alignment horizontal="left" readingOrder="0" shrinkToFit="0" vertical="top" wrapText="0"/>
    </xf>
    <xf borderId="1" fillId="0" fontId="1" numFmtId="166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167" xfId="0" applyAlignment="1" applyBorder="1" applyFont="1" applyNumberFormat="1">
      <alignment horizontal="left" readingOrder="0" shrinkToFit="0" vertical="center" wrapText="0"/>
    </xf>
    <xf borderId="1" fillId="0" fontId="1" numFmtId="168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quotePrefix="1" borderId="1" fillId="0" fontId="1" numFmtId="0" xfId="0" applyAlignment="1" applyBorder="1" applyFon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0" fontId="1" numFmtId="1" xfId="0" applyAlignment="1" applyBorder="1" applyFont="1" applyNumberFormat="1">
      <alignment horizontal="left" shrinkToFit="0" vertical="center" wrapText="0"/>
    </xf>
    <xf borderId="1" fillId="0" fontId="1" numFmtId="169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" xfId="0" applyAlignment="1" applyBorder="1" applyFont="1" applyNumberFormat="1">
      <alignment horizontal="left" readingOrder="0" shrinkToFit="0" vertical="center" wrapText="0"/>
    </xf>
    <xf borderId="1" fillId="0" fontId="1" numFmtId="166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67" xfId="0" applyAlignment="1" applyBorder="1" applyFont="1" applyNumberFormat="1">
      <alignment horizontal="left" readingOrder="0" shrinkToFit="0" vertical="center" wrapText="0"/>
    </xf>
    <xf borderId="1" fillId="0" fontId="1" numFmtId="169" xfId="0" applyAlignment="1" applyBorder="1" applyFont="1" applyNumberFormat="1">
      <alignment horizontal="left" readingOrder="0" shrinkToFit="0" vertical="center" wrapText="0"/>
    </xf>
    <xf borderId="1" fillId="0" fontId="1" numFmtId="168" xfId="0" applyAlignment="1" applyBorder="1" applyFont="1" applyNumberForma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0" fontId="1" numFmtId="1" xfId="0" applyAlignment="1" applyBorder="1" applyFont="1" applyNumberFormat="1">
      <alignment horizontal="left" shrinkToFit="0" vertical="center" wrapText="0"/>
    </xf>
    <xf borderId="1" fillId="0" fontId="1" numFmtId="169" xfId="0" applyAlignment="1" applyBorder="1" applyFont="1" applyNumberFormat="1">
      <alignment horizontal="left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shrinkToFit="0" vertical="center" wrapText="0"/>
    </xf>
    <xf borderId="1" fillId="0" fontId="1" numFmtId="169" xfId="0" applyAlignment="1" applyBorder="1" applyFont="1" applyNumberFormat="1">
      <alignment horizontal="left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0"/>
    </xf>
    <xf borderId="1" fillId="0" fontId="2" numFmtId="166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167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/>
    </xf>
    <xf borderId="1" fillId="0" fontId="1" numFmtId="1" xfId="0" applyAlignment="1" applyBorder="1" applyFont="1" applyNumberFormat="1">
      <alignment horizontal="left"/>
    </xf>
    <xf borderId="1" fillId="0" fontId="1" numFmtId="169" xfId="0" applyAlignment="1" applyBorder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0" fontId="1" numFmtId="165" xfId="0" applyAlignment="1" applyBorder="1" applyFont="1" applyNumberForma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adastro de Mebros IBV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B151" displayName="Form_Responses2" name="Form_Responses2" id="1">
  <autoFilter ref="$A$1:$AB$151"/>
  <tableColumns count="28">
    <tableColumn name="Carimbo de data/hora" id="1"/>
    <tableColumn name="Id" id="2"/>
    <tableColumn name="nome" id="3"/>
    <tableColumn name="Nome Completo" id="4"/>
    <tableColumn name="data_nascimento" id="5"/>
    <tableColumn name="idade" id="6"/>
    <tableColumn name="mes" id="7"/>
    <tableColumn name="telefone" id="8"/>
    <tableColumn name="sexo" id="9"/>
    <tableColumn name="observacoes" id="10"/>
    <tableColumn name="status_civil" id="11"/>
    <tableColumn name="nome_conjuge " id="12"/>
    <tableColumn name="parentesco " id="13"/>
    <tableColumn name="rua" id="14"/>
    <tableColumn name="numero" id="15"/>
    <tableColumn name="bairro" id="16"/>
    <tableColumn name="cidade" id="17"/>
    <tableColumn name="estado" id="18"/>
    <tableColumn name="cep" id="19"/>
    <tableColumn name="batizado" id="20"/>
    <tableColumn name="membro" id="21"/>
    <tableColumn name="situacao_atual" id="22"/>
    <tableColumn name="e_lider" id="23"/>
    <tableColumn name="e_professor_ebq_x000a_" id="24"/>
    <tableColumn name="faixa_etaria " id="25"/>
    <tableColumn name="Está em um pequeno grupo ?" id="26"/>
    <tableColumn name="grupo" id="27"/>
    <tableColumn name="numerodomes" id="28"/>
  </tableColumns>
  <tableStyleInfo name="Cadastro de Mebros IBV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7.5"/>
    <col customWidth="1" min="3" max="4" width="36.25"/>
    <col customWidth="1" min="5" max="5" width="23.75"/>
    <col customWidth="1" min="6" max="6" width="10.5"/>
    <col customWidth="1" min="7" max="7" width="10.25"/>
    <col customWidth="1" min="8" max="8" width="18.25"/>
    <col customWidth="1" min="9" max="9" width="14.88"/>
    <col customWidth="1" min="10" max="10" width="54.75"/>
    <col customWidth="1" min="11" max="11" width="20.75"/>
    <col customWidth="1" min="12" max="12" width="42.25"/>
    <col customWidth="1" min="13" max="13" width="34.25"/>
    <col customWidth="1" min="14" max="14" width="32.25"/>
    <col customWidth="1" min="15" max="15" width="11.5"/>
    <col customWidth="1" min="16" max="16" width="17.25"/>
    <col customWidth="1" min="17" max="18" width="11.5"/>
    <col customWidth="1" min="19" max="19" width="12.25"/>
    <col customWidth="1" min="20" max="20" width="16.75"/>
    <col customWidth="1" min="21" max="21" width="14.75"/>
    <col customWidth="1" min="22" max="22" width="22.75"/>
    <col customWidth="1" min="23" max="23" width="15.75"/>
    <col customWidth="1" min="24" max="24" width="23.75"/>
    <col customWidth="1" min="25" max="25" width="30.88"/>
    <col customWidth="1" min="26" max="26" width="34.75"/>
    <col customWidth="1" min="27" max="27" width="14.88"/>
    <col customWidth="1" min="28" max="28" width="16.5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7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6" t="s">
        <v>27</v>
      </c>
    </row>
    <row r="2" ht="25.5" customHeight="1">
      <c r="A2" s="8">
        <v>45618.89460788194</v>
      </c>
      <c r="B2" s="9">
        <v>1.0</v>
      </c>
      <c r="C2" s="10" t="str">
        <f t="shared" ref="C2:C151" si="1">UPPER(D2)</f>
        <v>ABNER ABADIS LIMA</v>
      </c>
      <c r="D2" s="9" t="s">
        <v>28</v>
      </c>
      <c r="E2" s="11">
        <v>44563.0</v>
      </c>
      <c r="F2" s="10">
        <f t="shared" ref="F2:F151" si="2">DATEDIF(E2,TODAY(),"Y")</f>
        <v>3</v>
      </c>
      <c r="G2" s="10" t="str">
        <f t="shared" ref="G2:G151" si="3">TEXT(E2,"MMMM")</f>
        <v>janeiro</v>
      </c>
      <c r="H2" s="12">
        <v>2.7995298253E10</v>
      </c>
      <c r="I2" s="13" t="s">
        <v>29</v>
      </c>
      <c r="J2" s="10"/>
      <c r="K2" s="13" t="s">
        <v>30</v>
      </c>
      <c r="L2" s="10"/>
      <c r="M2" s="9" t="s">
        <v>31</v>
      </c>
      <c r="N2" s="9" t="s">
        <v>32</v>
      </c>
      <c r="O2" s="14" t="s">
        <v>33</v>
      </c>
      <c r="P2" s="9" t="s">
        <v>34</v>
      </c>
      <c r="Q2" s="9" t="s">
        <v>35</v>
      </c>
      <c r="R2" s="9" t="s">
        <v>36</v>
      </c>
      <c r="S2" s="15">
        <v>2.9144306E7</v>
      </c>
      <c r="T2" s="13" t="s">
        <v>37</v>
      </c>
      <c r="U2" s="13" t="s">
        <v>37</v>
      </c>
      <c r="V2" s="13" t="s">
        <v>38</v>
      </c>
      <c r="W2" s="13" t="s">
        <v>37</v>
      </c>
      <c r="X2" s="13" t="s">
        <v>37</v>
      </c>
      <c r="Y2" s="13" t="s">
        <v>39</v>
      </c>
      <c r="Z2" s="13" t="s">
        <v>37</v>
      </c>
      <c r="AA2" s="13" t="s">
        <v>40</v>
      </c>
      <c r="AB2" s="10">
        <f t="shared" ref="AB2:AB151" si="4">IFERROR(MATCH(G2,{"Janeiro";"Fevereiro";"Março";"Abril";"Maio";"Junho";"Julho";"Agosto";"Setembro";"Outubro";"Novembro";"Dezembro"},0),"")
</f>
        <v>1</v>
      </c>
    </row>
    <row r="3" ht="25.5" customHeight="1">
      <c r="A3" s="8">
        <v>45614.70593790509</v>
      </c>
      <c r="B3" s="9">
        <v>2.0</v>
      </c>
      <c r="C3" s="9" t="str">
        <f t="shared" si="1"/>
        <v>ADASSA VALENTINA CRUZ DE SOUSA</v>
      </c>
      <c r="D3" s="9" t="s">
        <v>41</v>
      </c>
      <c r="E3" s="11">
        <v>39444.0</v>
      </c>
      <c r="F3" s="16">
        <f t="shared" si="2"/>
        <v>17</v>
      </c>
      <c r="G3" s="17" t="str">
        <f t="shared" si="3"/>
        <v>dezembro</v>
      </c>
      <c r="H3" s="12">
        <v>2.7996046516E10</v>
      </c>
      <c r="I3" s="13" t="s">
        <v>42</v>
      </c>
      <c r="J3" s="10"/>
      <c r="K3" s="13" t="s">
        <v>30</v>
      </c>
      <c r="L3" s="10"/>
      <c r="M3" s="9" t="s">
        <v>43</v>
      </c>
      <c r="N3" s="9" t="s">
        <v>44</v>
      </c>
      <c r="O3" s="9">
        <v>39.0</v>
      </c>
      <c r="P3" s="9" t="s">
        <v>45</v>
      </c>
      <c r="Q3" s="9" t="s">
        <v>35</v>
      </c>
      <c r="R3" s="9" t="s">
        <v>36</v>
      </c>
      <c r="S3" s="15" t="s">
        <v>46</v>
      </c>
      <c r="T3" s="13" t="s">
        <v>47</v>
      </c>
      <c r="U3" s="13" t="s">
        <v>47</v>
      </c>
      <c r="V3" s="13" t="s">
        <v>38</v>
      </c>
      <c r="W3" s="13" t="s">
        <v>37</v>
      </c>
      <c r="X3" s="13" t="s">
        <v>37</v>
      </c>
      <c r="Y3" s="13" t="s">
        <v>48</v>
      </c>
      <c r="Z3" s="13" t="s">
        <v>37</v>
      </c>
      <c r="AA3" s="13" t="s">
        <v>40</v>
      </c>
      <c r="AB3" s="18">
        <f t="shared" si="4"/>
        <v>12</v>
      </c>
    </row>
    <row r="4" ht="25.5" customHeight="1">
      <c r="A4" s="8">
        <v>45614.70365027778</v>
      </c>
      <c r="B4" s="9">
        <v>3.0</v>
      </c>
      <c r="C4" s="9" t="str">
        <f t="shared" si="1"/>
        <v>ADELIDIA DE AZEVEDO CRUZ</v>
      </c>
      <c r="D4" s="9" t="s">
        <v>43</v>
      </c>
      <c r="E4" s="11">
        <v>27299.0</v>
      </c>
      <c r="F4" s="16">
        <f t="shared" si="2"/>
        <v>51</v>
      </c>
      <c r="G4" s="17" t="str">
        <f t="shared" si="3"/>
        <v>setembro</v>
      </c>
      <c r="H4" s="12">
        <v>2.7997031407E10</v>
      </c>
      <c r="I4" s="13" t="s">
        <v>42</v>
      </c>
      <c r="J4" s="9"/>
      <c r="K4" s="13" t="s">
        <v>49</v>
      </c>
      <c r="L4" s="9" t="s">
        <v>50</v>
      </c>
      <c r="M4" s="10"/>
      <c r="N4" s="9" t="s">
        <v>44</v>
      </c>
      <c r="O4" s="9">
        <v>39.0</v>
      </c>
      <c r="P4" s="9" t="s">
        <v>45</v>
      </c>
      <c r="Q4" s="9" t="s">
        <v>35</v>
      </c>
      <c r="R4" s="9" t="s">
        <v>36</v>
      </c>
      <c r="S4" s="15" t="s">
        <v>46</v>
      </c>
      <c r="T4" s="13" t="s">
        <v>47</v>
      </c>
      <c r="U4" s="13" t="s">
        <v>47</v>
      </c>
      <c r="V4" s="13" t="s">
        <v>38</v>
      </c>
      <c r="W4" s="13" t="s">
        <v>47</v>
      </c>
      <c r="X4" s="13" t="s">
        <v>47</v>
      </c>
      <c r="Y4" s="13" t="s">
        <v>51</v>
      </c>
      <c r="Z4" s="13" t="s">
        <v>37</v>
      </c>
      <c r="AA4" s="13" t="s">
        <v>40</v>
      </c>
      <c r="AB4" s="18">
        <f t="shared" si="4"/>
        <v>9</v>
      </c>
    </row>
    <row r="5" ht="25.5" customHeight="1">
      <c r="A5" s="8">
        <v>45618.26242648148</v>
      </c>
      <c r="B5" s="9">
        <v>4.0</v>
      </c>
      <c r="C5" s="10" t="str">
        <f t="shared" si="1"/>
        <v>ALBERTO CLARO JÚNIOR </v>
      </c>
      <c r="D5" s="9" t="s">
        <v>52</v>
      </c>
      <c r="E5" s="11">
        <v>29004.0</v>
      </c>
      <c r="F5" s="16">
        <f t="shared" si="2"/>
        <v>46</v>
      </c>
      <c r="G5" s="10" t="str">
        <f t="shared" si="3"/>
        <v>maio</v>
      </c>
      <c r="H5" s="12">
        <v>2.7988058902E10</v>
      </c>
      <c r="I5" s="13" t="s">
        <v>29</v>
      </c>
      <c r="J5" s="9"/>
      <c r="K5" s="13" t="s">
        <v>49</v>
      </c>
      <c r="L5" s="9" t="s">
        <v>53</v>
      </c>
      <c r="M5" s="10"/>
      <c r="N5" s="9" t="s">
        <v>54</v>
      </c>
      <c r="O5" s="9">
        <v>209.0</v>
      </c>
      <c r="P5" s="9" t="s">
        <v>55</v>
      </c>
      <c r="Q5" s="9" t="s">
        <v>35</v>
      </c>
      <c r="R5" s="9" t="s">
        <v>36</v>
      </c>
      <c r="S5" s="15">
        <v>2.9145675E7</v>
      </c>
      <c r="T5" s="13" t="s">
        <v>47</v>
      </c>
      <c r="U5" s="13" t="s">
        <v>47</v>
      </c>
      <c r="V5" s="13" t="s">
        <v>38</v>
      </c>
      <c r="W5" s="13" t="s">
        <v>37</v>
      </c>
      <c r="X5" s="13" t="s">
        <v>37</v>
      </c>
      <c r="Y5" s="13" t="s">
        <v>51</v>
      </c>
      <c r="Z5" s="13" t="s">
        <v>37</v>
      </c>
      <c r="AA5" s="13" t="s">
        <v>40</v>
      </c>
      <c r="AB5" s="10">
        <f t="shared" si="4"/>
        <v>5</v>
      </c>
    </row>
    <row r="6" ht="25.5" customHeight="1">
      <c r="A6" s="8">
        <v>45840.63702030093</v>
      </c>
      <c r="B6" s="9">
        <v>5.0</v>
      </c>
      <c r="C6" s="10" t="str">
        <f t="shared" si="1"/>
        <v>ALDENY FERREIRA DE OLIVEIRA SOUSA </v>
      </c>
      <c r="D6" s="9" t="s">
        <v>56</v>
      </c>
      <c r="E6" s="11">
        <v>26253.0</v>
      </c>
      <c r="F6" s="10">
        <f t="shared" si="2"/>
        <v>53</v>
      </c>
      <c r="G6" s="10" t="str">
        <f t="shared" si="3"/>
        <v>novembro</v>
      </c>
      <c r="H6" s="9" t="s">
        <v>57</v>
      </c>
      <c r="I6" s="13" t="s">
        <v>42</v>
      </c>
      <c r="J6" s="10"/>
      <c r="K6" s="19"/>
      <c r="L6" s="9" t="s">
        <v>58</v>
      </c>
      <c r="M6" s="10"/>
      <c r="N6" s="9" t="s">
        <v>59</v>
      </c>
      <c r="O6" s="9">
        <v>216.0</v>
      </c>
      <c r="P6" s="9" t="s">
        <v>60</v>
      </c>
      <c r="Q6" s="9" t="s">
        <v>35</v>
      </c>
      <c r="R6" s="9" t="s">
        <v>36</v>
      </c>
      <c r="S6" s="9">
        <v>2.9143508E7</v>
      </c>
      <c r="T6" s="13" t="s">
        <v>47</v>
      </c>
      <c r="U6" s="13" t="s">
        <v>47</v>
      </c>
      <c r="V6" s="13" t="s">
        <v>38</v>
      </c>
      <c r="W6" s="13" t="s">
        <v>37</v>
      </c>
      <c r="X6" s="13" t="s">
        <v>37</v>
      </c>
      <c r="Y6" s="13" t="s">
        <v>51</v>
      </c>
      <c r="Z6" s="13" t="s">
        <v>37</v>
      </c>
      <c r="AA6" s="13" t="s">
        <v>40</v>
      </c>
      <c r="AB6" s="10">
        <f t="shared" si="4"/>
        <v>11</v>
      </c>
    </row>
    <row r="7" ht="25.5" customHeight="1">
      <c r="A7" s="8">
        <v>45614.84731010417</v>
      </c>
      <c r="B7" s="9">
        <v>6.0</v>
      </c>
      <c r="C7" s="9" t="str">
        <f t="shared" si="1"/>
        <v>ALÍCIO DE SOUZA PEREIRA </v>
      </c>
      <c r="D7" s="9" t="s">
        <v>61</v>
      </c>
      <c r="E7" s="11">
        <v>22276.0</v>
      </c>
      <c r="F7" s="16">
        <f t="shared" si="2"/>
        <v>64</v>
      </c>
      <c r="G7" s="9" t="str">
        <f t="shared" si="3"/>
        <v>dezembro</v>
      </c>
      <c r="H7" s="12">
        <v>2.7998131236E10</v>
      </c>
      <c r="I7" s="13" t="s">
        <v>29</v>
      </c>
      <c r="J7" s="9"/>
      <c r="K7" s="13" t="s">
        <v>49</v>
      </c>
      <c r="L7" s="9" t="s">
        <v>62</v>
      </c>
      <c r="M7" s="10"/>
      <c r="N7" s="9" t="s">
        <v>63</v>
      </c>
      <c r="O7" s="14" t="s">
        <v>64</v>
      </c>
      <c r="P7" s="9" t="s">
        <v>55</v>
      </c>
      <c r="Q7" s="9" t="s">
        <v>35</v>
      </c>
      <c r="R7" s="9" t="s">
        <v>36</v>
      </c>
      <c r="S7" s="15">
        <v>2.914576E7</v>
      </c>
      <c r="T7" s="13" t="s">
        <v>47</v>
      </c>
      <c r="U7" s="13" t="s">
        <v>47</v>
      </c>
      <c r="V7" s="13" t="s">
        <v>38</v>
      </c>
      <c r="W7" s="13" t="s">
        <v>37</v>
      </c>
      <c r="X7" s="13" t="s">
        <v>37</v>
      </c>
      <c r="Y7" s="13" t="s">
        <v>65</v>
      </c>
      <c r="Z7" s="13" t="s">
        <v>37</v>
      </c>
      <c r="AA7" s="13" t="s">
        <v>40</v>
      </c>
      <c r="AB7" s="18">
        <f t="shared" si="4"/>
        <v>12</v>
      </c>
    </row>
    <row r="8" ht="25.5" customHeight="1">
      <c r="A8" s="8">
        <v>45802.39195916666</v>
      </c>
      <c r="B8" s="9">
        <v>7.0</v>
      </c>
      <c r="C8" s="10" t="str">
        <f t="shared" si="1"/>
        <v>AMANDA DE OLIVEIRA SOUSA </v>
      </c>
      <c r="D8" s="9" t="s">
        <v>66</v>
      </c>
      <c r="E8" s="11">
        <v>35895.0</v>
      </c>
      <c r="F8" s="10">
        <f t="shared" si="2"/>
        <v>27</v>
      </c>
      <c r="G8" s="10" t="str">
        <f t="shared" si="3"/>
        <v>abril</v>
      </c>
      <c r="H8" s="12">
        <v>2.7997404499E10</v>
      </c>
      <c r="I8" s="13" t="s">
        <v>42</v>
      </c>
      <c r="J8" s="10"/>
      <c r="K8" s="19"/>
      <c r="L8" s="9" t="s">
        <v>67</v>
      </c>
      <c r="M8" s="10"/>
      <c r="N8" s="9" t="s">
        <v>68</v>
      </c>
      <c r="O8" s="9">
        <v>216.0</v>
      </c>
      <c r="P8" s="9" t="s">
        <v>60</v>
      </c>
      <c r="Q8" s="9" t="s">
        <v>35</v>
      </c>
      <c r="R8" s="9" t="s">
        <v>36</v>
      </c>
      <c r="S8" s="9">
        <v>2.9143508E7</v>
      </c>
      <c r="T8" s="13" t="s">
        <v>47</v>
      </c>
      <c r="U8" s="13" t="s">
        <v>47</v>
      </c>
      <c r="V8" s="13" t="s">
        <v>38</v>
      </c>
      <c r="W8" s="13" t="s">
        <v>37</v>
      </c>
      <c r="X8" s="13" t="s">
        <v>37</v>
      </c>
      <c r="Y8" s="13" t="s">
        <v>69</v>
      </c>
      <c r="Z8" s="13" t="s">
        <v>37</v>
      </c>
      <c r="AA8" s="13" t="s">
        <v>40</v>
      </c>
      <c r="AB8" s="10">
        <f t="shared" si="4"/>
        <v>4</v>
      </c>
    </row>
    <row r="9" ht="25.5" customHeight="1">
      <c r="A9" s="8">
        <v>45617.82606777777</v>
      </c>
      <c r="B9" s="9">
        <v>8.0</v>
      </c>
      <c r="C9" s="10" t="str">
        <f t="shared" si="1"/>
        <v>AMANDA RONQUETTI DA SILVA LIMA </v>
      </c>
      <c r="D9" s="9" t="s">
        <v>70</v>
      </c>
      <c r="E9" s="11">
        <v>33368.0</v>
      </c>
      <c r="F9" s="16">
        <f t="shared" si="2"/>
        <v>34</v>
      </c>
      <c r="G9" s="10" t="str">
        <f t="shared" si="3"/>
        <v>maio</v>
      </c>
      <c r="H9" s="12">
        <v>2.7997629765E10</v>
      </c>
      <c r="I9" s="13" t="s">
        <v>42</v>
      </c>
      <c r="J9" s="9"/>
      <c r="K9" s="13" t="s">
        <v>49</v>
      </c>
      <c r="L9" s="9" t="s">
        <v>71</v>
      </c>
      <c r="M9" s="9" t="s">
        <v>72</v>
      </c>
      <c r="N9" s="9" t="s">
        <v>73</v>
      </c>
      <c r="O9" s="14" t="s">
        <v>74</v>
      </c>
      <c r="P9" s="9" t="s">
        <v>75</v>
      </c>
      <c r="Q9" s="9" t="s">
        <v>76</v>
      </c>
      <c r="R9" s="9" t="s">
        <v>36</v>
      </c>
      <c r="S9" s="15">
        <v>2.9138445E7</v>
      </c>
      <c r="T9" s="13" t="s">
        <v>47</v>
      </c>
      <c r="U9" s="13" t="s">
        <v>47</v>
      </c>
      <c r="V9" s="13" t="s">
        <v>38</v>
      </c>
      <c r="W9" s="13" t="s">
        <v>37</v>
      </c>
      <c r="X9" s="13" t="s">
        <v>37</v>
      </c>
      <c r="Y9" s="13" t="s">
        <v>69</v>
      </c>
      <c r="Z9" s="20" t="s">
        <v>37</v>
      </c>
      <c r="AA9" s="13" t="s">
        <v>40</v>
      </c>
      <c r="AB9" s="10">
        <f t="shared" si="4"/>
        <v>5</v>
      </c>
    </row>
    <row r="10" ht="25.5" customHeight="1">
      <c r="A10" s="8">
        <v>45797.860239131944</v>
      </c>
      <c r="B10" s="9">
        <v>9.0</v>
      </c>
      <c r="C10" s="10" t="str">
        <f t="shared" si="1"/>
        <v>ANA GABRIELLY ROSA ROCHA </v>
      </c>
      <c r="D10" s="9" t="s">
        <v>77</v>
      </c>
      <c r="E10" s="11">
        <v>41537.0</v>
      </c>
      <c r="F10" s="10">
        <f t="shared" si="2"/>
        <v>12</v>
      </c>
      <c r="G10" s="10" t="str">
        <f t="shared" si="3"/>
        <v>setembro</v>
      </c>
      <c r="H10" s="12">
        <v>2.7992456124E10</v>
      </c>
      <c r="I10" s="13" t="s">
        <v>42</v>
      </c>
      <c r="J10" s="10"/>
      <c r="K10" s="13" t="s">
        <v>30</v>
      </c>
      <c r="L10" s="10"/>
      <c r="M10" s="9" t="s">
        <v>78</v>
      </c>
      <c r="N10" s="9" t="s">
        <v>79</v>
      </c>
      <c r="O10" s="9">
        <v>34.0</v>
      </c>
      <c r="P10" s="9" t="s">
        <v>80</v>
      </c>
      <c r="Q10" s="9" t="s">
        <v>35</v>
      </c>
      <c r="R10" s="9" t="s">
        <v>36</v>
      </c>
      <c r="S10" s="9">
        <v>2.9146677E7</v>
      </c>
      <c r="T10" s="13" t="s">
        <v>37</v>
      </c>
      <c r="U10" s="13" t="s">
        <v>37</v>
      </c>
      <c r="V10" s="13" t="s">
        <v>38</v>
      </c>
      <c r="W10" s="13" t="s">
        <v>37</v>
      </c>
      <c r="X10" s="13" t="s">
        <v>37</v>
      </c>
      <c r="Y10" s="13" t="s">
        <v>48</v>
      </c>
      <c r="Z10" s="13" t="s">
        <v>37</v>
      </c>
      <c r="AA10" s="13" t="s">
        <v>40</v>
      </c>
      <c r="AB10" s="10">
        <f t="shared" si="4"/>
        <v>9</v>
      </c>
    </row>
    <row r="11" ht="25.5" customHeight="1">
      <c r="A11" s="8">
        <v>45621.78340049769</v>
      </c>
      <c r="B11" s="9">
        <v>10.0</v>
      </c>
      <c r="C11" s="10" t="str">
        <f t="shared" si="1"/>
        <v>ANA LUIZA SOUZA MATOS MOURA </v>
      </c>
      <c r="D11" s="9" t="s">
        <v>81</v>
      </c>
      <c r="E11" s="11">
        <v>41785.0</v>
      </c>
      <c r="F11" s="10">
        <f t="shared" si="2"/>
        <v>11</v>
      </c>
      <c r="G11" s="10" t="str">
        <f t="shared" si="3"/>
        <v>maio</v>
      </c>
      <c r="H11" s="12">
        <v>2.7997566031E10</v>
      </c>
      <c r="I11" s="13" t="s">
        <v>42</v>
      </c>
      <c r="J11" s="10"/>
      <c r="K11" s="13" t="s">
        <v>30</v>
      </c>
      <c r="L11" s="10"/>
      <c r="M11" s="9" t="s">
        <v>82</v>
      </c>
      <c r="N11" s="9" t="s">
        <v>83</v>
      </c>
      <c r="O11" s="9">
        <v>48.0</v>
      </c>
      <c r="P11" s="9" t="s">
        <v>84</v>
      </c>
      <c r="Q11" s="9" t="s">
        <v>35</v>
      </c>
      <c r="R11" s="9" t="s">
        <v>36</v>
      </c>
      <c r="S11" s="15">
        <v>2.914404E7</v>
      </c>
      <c r="T11" s="13" t="s">
        <v>47</v>
      </c>
      <c r="U11" s="13" t="s">
        <v>47</v>
      </c>
      <c r="V11" s="13" t="s">
        <v>38</v>
      </c>
      <c r="W11" s="13" t="s">
        <v>37</v>
      </c>
      <c r="X11" s="13" t="s">
        <v>37</v>
      </c>
      <c r="Y11" s="13" t="s">
        <v>85</v>
      </c>
      <c r="Z11" s="20" t="s">
        <v>37</v>
      </c>
      <c r="AA11" s="13" t="s">
        <v>40</v>
      </c>
      <c r="AB11" s="10">
        <f t="shared" si="4"/>
        <v>5</v>
      </c>
    </row>
    <row r="12" ht="25.5" customHeight="1">
      <c r="A12" s="8">
        <v>45614.52275048611</v>
      </c>
      <c r="B12" s="9">
        <v>11.0</v>
      </c>
      <c r="C12" s="9" t="str">
        <f t="shared" si="1"/>
        <v>ANDERSON PRESENZA LIMA</v>
      </c>
      <c r="D12" s="9" t="s">
        <v>86</v>
      </c>
      <c r="E12" s="11">
        <v>33173.0</v>
      </c>
      <c r="F12" s="21">
        <f t="shared" si="2"/>
        <v>35</v>
      </c>
      <c r="G12" s="17" t="str">
        <f t="shared" si="3"/>
        <v>outubro</v>
      </c>
      <c r="H12" s="12">
        <v>2.799761968E10</v>
      </c>
      <c r="I12" s="13" t="s">
        <v>29</v>
      </c>
      <c r="J12" s="9"/>
      <c r="K12" s="13" t="s">
        <v>49</v>
      </c>
      <c r="L12" s="9" t="s">
        <v>87</v>
      </c>
      <c r="M12" s="10"/>
      <c r="N12" s="9" t="s">
        <v>88</v>
      </c>
      <c r="O12" s="9" t="s">
        <v>89</v>
      </c>
      <c r="P12" s="9" t="s">
        <v>90</v>
      </c>
      <c r="Q12" s="9" t="s">
        <v>35</v>
      </c>
      <c r="R12" s="9" t="s">
        <v>36</v>
      </c>
      <c r="S12" s="15">
        <v>2.9144766E7</v>
      </c>
      <c r="T12" s="13" t="s">
        <v>47</v>
      </c>
      <c r="U12" s="13" t="s">
        <v>47</v>
      </c>
      <c r="V12" s="13" t="s">
        <v>38</v>
      </c>
      <c r="W12" s="13" t="s">
        <v>37</v>
      </c>
      <c r="X12" s="13" t="s">
        <v>37</v>
      </c>
      <c r="Y12" s="13" t="s">
        <v>69</v>
      </c>
      <c r="Z12" s="20" t="s">
        <v>37</v>
      </c>
      <c r="AA12" s="13" t="s">
        <v>40</v>
      </c>
      <c r="AB12" s="18">
        <f t="shared" si="4"/>
        <v>10</v>
      </c>
    </row>
    <row r="13" ht="25.5" customHeight="1">
      <c r="A13" s="8">
        <v>45614.486279363424</v>
      </c>
      <c r="B13" s="9">
        <v>12.0</v>
      </c>
      <c r="C13" s="9" t="str">
        <f t="shared" si="1"/>
        <v>ANNY NICOLLY DE SOUZA PAIXAO </v>
      </c>
      <c r="D13" s="9" t="s">
        <v>91</v>
      </c>
      <c r="E13" s="11">
        <v>39536.0</v>
      </c>
      <c r="F13" s="21">
        <f t="shared" si="2"/>
        <v>17</v>
      </c>
      <c r="G13" s="17" t="str">
        <f t="shared" si="3"/>
        <v>março</v>
      </c>
      <c r="H13" s="12">
        <v>2.7998379768E10</v>
      </c>
      <c r="I13" s="13" t="s">
        <v>42</v>
      </c>
      <c r="J13" s="10"/>
      <c r="K13" s="13" t="s">
        <v>30</v>
      </c>
      <c r="L13" s="10"/>
      <c r="M13" s="9" t="s">
        <v>92</v>
      </c>
      <c r="N13" s="9">
        <v>16.0</v>
      </c>
      <c r="O13" s="9">
        <v>141.0</v>
      </c>
      <c r="P13" s="9" t="s">
        <v>93</v>
      </c>
      <c r="Q13" s="9" t="s">
        <v>35</v>
      </c>
      <c r="R13" s="9" t="s">
        <v>36</v>
      </c>
      <c r="S13" s="15">
        <v>2.9157414E7</v>
      </c>
      <c r="T13" s="13" t="s">
        <v>47</v>
      </c>
      <c r="U13" s="13" t="s">
        <v>47</v>
      </c>
      <c r="V13" s="13" t="s">
        <v>38</v>
      </c>
      <c r="W13" s="13" t="s">
        <v>37</v>
      </c>
      <c r="X13" s="13" t="s">
        <v>37</v>
      </c>
      <c r="Y13" s="13" t="s">
        <v>48</v>
      </c>
      <c r="Z13" s="20" t="s">
        <v>37</v>
      </c>
      <c r="AA13" s="13" t="s">
        <v>40</v>
      </c>
      <c r="AB13" s="18">
        <f t="shared" si="4"/>
        <v>3</v>
      </c>
    </row>
    <row r="14" ht="25.5" customHeight="1">
      <c r="A14" s="8">
        <v>45621.78839113426</v>
      </c>
      <c r="B14" s="9">
        <v>13.0</v>
      </c>
      <c r="C14" s="10" t="str">
        <f t="shared" si="1"/>
        <v>ANTONELLA VITÓRIA SOUZA DE JESUS </v>
      </c>
      <c r="D14" s="9" t="s">
        <v>94</v>
      </c>
      <c r="E14" s="11">
        <v>45438.0</v>
      </c>
      <c r="F14" s="10">
        <f t="shared" si="2"/>
        <v>1</v>
      </c>
      <c r="G14" s="10" t="str">
        <f t="shared" si="3"/>
        <v>maio</v>
      </c>
      <c r="H14" s="12">
        <v>2.7997566031E10</v>
      </c>
      <c r="I14" s="13" t="s">
        <v>42</v>
      </c>
      <c r="J14" s="10"/>
      <c r="K14" s="13" t="s">
        <v>30</v>
      </c>
      <c r="L14" s="10"/>
      <c r="M14" s="9" t="s">
        <v>82</v>
      </c>
      <c r="N14" s="9" t="s">
        <v>83</v>
      </c>
      <c r="O14" s="9">
        <v>48.0</v>
      </c>
      <c r="P14" s="9" t="s">
        <v>84</v>
      </c>
      <c r="Q14" s="9" t="s">
        <v>35</v>
      </c>
      <c r="R14" s="9" t="s">
        <v>36</v>
      </c>
      <c r="S14" s="15">
        <v>2.914404E7</v>
      </c>
      <c r="T14" s="13" t="s">
        <v>37</v>
      </c>
      <c r="U14" s="13" t="s">
        <v>37</v>
      </c>
      <c r="V14" s="13" t="s">
        <v>38</v>
      </c>
      <c r="W14" s="13" t="s">
        <v>37</v>
      </c>
      <c r="X14" s="13" t="s">
        <v>37</v>
      </c>
      <c r="Y14" s="13" t="s">
        <v>39</v>
      </c>
      <c r="Z14" s="20" t="s">
        <v>37</v>
      </c>
      <c r="AA14" s="13" t="s">
        <v>40</v>
      </c>
      <c r="AB14" s="10">
        <f t="shared" si="4"/>
        <v>5</v>
      </c>
    </row>
    <row r="15" ht="25.5" customHeight="1">
      <c r="A15" s="8">
        <v>45617.61088934028</v>
      </c>
      <c r="B15" s="9">
        <v>14.0</v>
      </c>
      <c r="C15" s="10" t="str">
        <f t="shared" si="1"/>
        <v>ANTÔNIO FRANCISCO DO NASCIMENTO </v>
      </c>
      <c r="D15" s="9" t="s">
        <v>95</v>
      </c>
      <c r="E15" s="11">
        <v>19082.0</v>
      </c>
      <c r="F15" s="16">
        <f t="shared" si="2"/>
        <v>73</v>
      </c>
      <c r="G15" s="10" t="str">
        <f t="shared" si="3"/>
        <v>março</v>
      </c>
      <c r="H15" s="12">
        <v>2.7999441318E10</v>
      </c>
      <c r="I15" s="13" t="s">
        <v>29</v>
      </c>
      <c r="J15" s="9"/>
      <c r="K15" s="13" t="s">
        <v>49</v>
      </c>
      <c r="L15" s="9" t="s">
        <v>96</v>
      </c>
      <c r="M15" s="10"/>
      <c r="N15" s="9" t="s">
        <v>97</v>
      </c>
      <c r="O15" s="9">
        <v>159.0</v>
      </c>
      <c r="P15" s="9" t="s">
        <v>98</v>
      </c>
      <c r="Q15" s="9" t="s">
        <v>35</v>
      </c>
      <c r="R15" s="9" t="s">
        <v>36</v>
      </c>
      <c r="S15" s="15">
        <v>2.9146675E7</v>
      </c>
      <c r="T15" s="13" t="s">
        <v>47</v>
      </c>
      <c r="U15" s="13" t="s">
        <v>47</v>
      </c>
      <c r="V15" s="13" t="s">
        <v>38</v>
      </c>
      <c r="W15" s="13" t="s">
        <v>37</v>
      </c>
      <c r="X15" s="13" t="s">
        <v>37</v>
      </c>
      <c r="Y15" s="13" t="s">
        <v>65</v>
      </c>
      <c r="Z15" s="20" t="s">
        <v>37</v>
      </c>
      <c r="AA15" s="13" t="s">
        <v>40</v>
      </c>
      <c r="AB15" s="10">
        <f t="shared" si="4"/>
        <v>3</v>
      </c>
    </row>
    <row r="16" ht="25.5" customHeight="1">
      <c r="A16" s="22">
        <v>45613.503949942125</v>
      </c>
      <c r="B16" s="9">
        <v>15.0</v>
      </c>
      <c r="C16" s="23" t="str">
        <f t="shared" si="1"/>
        <v>AYRTON COSTA DE ALMEIDA</v>
      </c>
      <c r="D16" s="23" t="s">
        <v>99</v>
      </c>
      <c r="E16" s="24">
        <v>34576.0</v>
      </c>
      <c r="F16" s="21">
        <f t="shared" si="2"/>
        <v>31</v>
      </c>
      <c r="G16" s="25" t="str">
        <f t="shared" si="3"/>
        <v>agosto</v>
      </c>
      <c r="H16" s="26">
        <v>2.79976659E10</v>
      </c>
      <c r="I16" s="20" t="s">
        <v>29</v>
      </c>
      <c r="J16" s="23"/>
      <c r="K16" s="20" t="s">
        <v>49</v>
      </c>
      <c r="L16" s="23" t="s">
        <v>100</v>
      </c>
      <c r="M16" s="23"/>
      <c r="N16" s="23" t="s">
        <v>101</v>
      </c>
      <c r="O16" s="23">
        <v>40.0</v>
      </c>
      <c r="P16" s="23" t="s">
        <v>102</v>
      </c>
      <c r="Q16" s="23" t="s">
        <v>35</v>
      </c>
      <c r="R16" s="23" t="s">
        <v>36</v>
      </c>
      <c r="S16" s="27">
        <v>2.914365E7</v>
      </c>
      <c r="T16" s="20" t="s">
        <v>47</v>
      </c>
      <c r="U16" s="13" t="s">
        <v>47</v>
      </c>
      <c r="V16" s="20" t="s">
        <v>38</v>
      </c>
      <c r="W16" s="20" t="s">
        <v>47</v>
      </c>
      <c r="X16" s="20" t="s">
        <v>47</v>
      </c>
      <c r="Y16" s="20" t="s">
        <v>69</v>
      </c>
      <c r="Z16" s="20" t="s">
        <v>37</v>
      </c>
      <c r="AA16" s="13" t="s">
        <v>40</v>
      </c>
      <c r="AB16" s="18">
        <f t="shared" si="4"/>
        <v>8</v>
      </c>
    </row>
    <row r="17" ht="25.5" customHeight="1">
      <c r="A17" s="8">
        <v>45621.45112268518</v>
      </c>
      <c r="B17" s="9">
        <v>16.0</v>
      </c>
      <c r="C17" s="28" t="str">
        <f t="shared" si="1"/>
        <v>BENÍCIO ALVES NASCIMENTO</v>
      </c>
      <c r="D17" s="29" t="s">
        <v>103</v>
      </c>
      <c r="E17" s="24">
        <v>45118.0</v>
      </c>
      <c r="F17" s="30">
        <f t="shared" si="2"/>
        <v>2</v>
      </c>
      <c r="G17" s="31" t="str">
        <f t="shared" si="3"/>
        <v>julho</v>
      </c>
      <c r="H17" s="26">
        <v>2.7995310232E10</v>
      </c>
      <c r="I17" s="20" t="s">
        <v>29</v>
      </c>
      <c r="J17" s="23" t="s">
        <v>104</v>
      </c>
      <c r="K17" s="32" t="s">
        <v>30</v>
      </c>
      <c r="L17" s="33"/>
      <c r="M17" s="34" t="s">
        <v>105</v>
      </c>
      <c r="N17" s="9" t="s">
        <v>106</v>
      </c>
      <c r="O17" s="23">
        <v>25.0</v>
      </c>
      <c r="P17" s="9" t="s">
        <v>98</v>
      </c>
      <c r="Q17" s="9" t="s">
        <v>35</v>
      </c>
      <c r="R17" s="9" t="s">
        <v>36</v>
      </c>
      <c r="S17" s="15" t="s">
        <v>107</v>
      </c>
      <c r="T17" s="20" t="s">
        <v>37</v>
      </c>
      <c r="U17" s="20" t="s">
        <v>37</v>
      </c>
      <c r="V17" s="20" t="s">
        <v>38</v>
      </c>
      <c r="W17" s="13" t="s">
        <v>37</v>
      </c>
      <c r="X17" s="13" t="s">
        <v>37</v>
      </c>
      <c r="Y17" s="13" t="s">
        <v>39</v>
      </c>
      <c r="Z17" s="20" t="s">
        <v>37</v>
      </c>
      <c r="AA17" s="13" t="s">
        <v>40</v>
      </c>
      <c r="AB17" s="28">
        <f t="shared" si="4"/>
        <v>7</v>
      </c>
    </row>
    <row r="18" ht="25.5" customHeight="1">
      <c r="A18" s="8">
        <v>45614.60220650463</v>
      </c>
      <c r="B18" s="9">
        <v>17.0</v>
      </c>
      <c r="C18" s="9" t="str">
        <f t="shared" si="1"/>
        <v>BENTO HONORI DONDONI </v>
      </c>
      <c r="D18" s="9" t="s">
        <v>108</v>
      </c>
      <c r="E18" s="11">
        <v>45316.0</v>
      </c>
      <c r="F18" s="16">
        <f t="shared" si="2"/>
        <v>1</v>
      </c>
      <c r="G18" s="17" t="str">
        <f t="shared" si="3"/>
        <v>janeiro</v>
      </c>
      <c r="H18" s="12">
        <v>2.799807254E10</v>
      </c>
      <c r="I18" s="13" t="s">
        <v>29</v>
      </c>
      <c r="J18" s="10"/>
      <c r="K18" s="13" t="s">
        <v>30</v>
      </c>
      <c r="L18" s="10"/>
      <c r="M18" s="9" t="s">
        <v>109</v>
      </c>
      <c r="N18" s="9" t="s">
        <v>110</v>
      </c>
      <c r="O18" s="9">
        <v>19.0</v>
      </c>
      <c r="P18" s="9" t="s">
        <v>111</v>
      </c>
      <c r="Q18" s="9" t="s">
        <v>35</v>
      </c>
      <c r="R18" s="9" t="s">
        <v>36</v>
      </c>
      <c r="S18" s="15">
        <v>2.9158652E7</v>
      </c>
      <c r="T18" s="13" t="s">
        <v>37</v>
      </c>
      <c r="U18" s="13" t="s">
        <v>37</v>
      </c>
      <c r="V18" s="13" t="s">
        <v>38</v>
      </c>
      <c r="W18" s="13" t="s">
        <v>37</v>
      </c>
      <c r="X18" s="13" t="s">
        <v>37</v>
      </c>
      <c r="Y18" s="13" t="s">
        <v>39</v>
      </c>
      <c r="Z18" s="20" t="s">
        <v>37</v>
      </c>
      <c r="AA18" s="13" t="s">
        <v>40</v>
      </c>
      <c r="AB18" s="18">
        <f t="shared" si="4"/>
        <v>1</v>
      </c>
    </row>
    <row r="19" ht="25.5" customHeight="1">
      <c r="A19" s="8">
        <v>45614.45331916667</v>
      </c>
      <c r="B19" s="9">
        <v>18.0</v>
      </c>
      <c r="C19" s="9" t="str">
        <f t="shared" si="1"/>
        <v>BERNARDO TAVARES PEREIRA </v>
      </c>
      <c r="D19" s="9" t="s">
        <v>112</v>
      </c>
      <c r="E19" s="11">
        <v>37860.0</v>
      </c>
      <c r="F19" s="21">
        <f t="shared" si="2"/>
        <v>22</v>
      </c>
      <c r="G19" s="17" t="str">
        <f t="shared" si="3"/>
        <v>agosto</v>
      </c>
      <c r="H19" s="12">
        <v>2.7996952399E10</v>
      </c>
      <c r="I19" s="13" t="s">
        <v>29</v>
      </c>
      <c r="J19" s="10"/>
      <c r="K19" s="13" t="s">
        <v>30</v>
      </c>
      <c r="L19" s="10"/>
      <c r="M19" s="10"/>
      <c r="N19" s="9" t="s">
        <v>63</v>
      </c>
      <c r="O19" s="9">
        <v>3.0</v>
      </c>
      <c r="P19" s="9" t="s">
        <v>55</v>
      </c>
      <c r="Q19" s="9" t="s">
        <v>35</v>
      </c>
      <c r="R19" s="9" t="s">
        <v>36</v>
      </c>
      <c r="S19" s="15" t="s">
        <v>113</v>
      </c>
      <c r="T19" s="20" t="s">
        <v>47</v>
      </c>
      <c r="U19" s="13" t="s">
        <v>47</v>
      </c>
      <c r="V19" s="20" t="s">
        <v>38</v>
      </c>
      <c r="W19" s="13" t="s">
        <v>37</v>
      </c>
      <c r="X19" s="13" t="s">
        <v>37</v>
      </c>
      <c r="Y19" s="13" t="s">
        <v>69</v>
      </c>
      <c r="Z19" s="20" t="s">
        <v>37</v>
      </c>
      <c r="AA19" s="13" t="s">
        <v>40</v>
      </c>
      <c r="AB19" s="18">
        <f t="shared" si="4"/>
        <v>8</v>
      </c>
    </row>
    <row r="20" ht="25.5" customHeight="1">
      <c r="A20" s="22">
        <v>45613.89394368055</v>
      </c>
      <c r="B20" s="9">
        <v>19.0</v>
      </c>
      <c r="C20" s="23" t="str">
        <f t="shared" si="1"/>
        <v>BRUNA LORRANI ROCHA MOUSINHO VIANA </v>
      </c>
      <c r="D20" s="23" t="s">
        <v>114</v>
      </c>
      <c r="E20" s="24">
        <v>35940.0</v>
      </c>
      <c r="F20" s="21">
        <f t="shared" si="2"/>
        <v>27</v>
      </c>
      <c r="G20" s="25" t="str">
        <f t="shared" si="3"/>
        <v>maio</v>
      </c>
      <c r="H20" s="26">
        <v>2.7988105762E10</v>
      </c>
      <c r="I20" s="20" t="s">
        <v>42</v>
      </c>
      <c r="J20" s="23"/>
      <c r="K20" s="20" t="s">
        <v>49</v>
      </c>
      <c r="L20" s="23" t="s">
        <v>115</v>
      </c>
      <c r="M20" s="28"/>
      <c r="N20" s="23" t="s">
        <v>79</v>
      </c>
      <c r="O20" s="23">
        <v>34.0</v>
      </c>
      <c r="P20" s="9" t="s">
        <v>98</v>
      </c>
      <c r="Q20" s="23" t="s">
        <v>35</v>
      </c>
      <c r="R20" s="23" t="s">
        <v>36</v>
      </c>
      <c r="S20" s="27">
        <v>2.9146677E7</v>
      </c>
      <c r="T20" s="20" t="s">
        <v>47</v>
      </c>
      <c r="U20" s="13" t="s">
        <v>47</v>
      </c>
      <c r="V20" s="20" t="s">
        <v>38</v>
      </c>
      <c r="W20" s="20" t="s">
        <v>37</v>
      </c>
      <c r="X20" s="13" t="s">
        <v>37</v>
      </c>
      <c r="Y20" s="20" t="s">
        <v>69</v>
      </c>
      <c r="Z20" s="20" t="s">
        <v>37</v>
      </c>
      <c r="AA20" s="13" t="s">
        <v>40</v>
      </c>
      <c r="AB20" s="18">
        <f t="shared" si="4"/>
        <v>5</v>
      </c>
    </row>
    <row r="21" ht="25.5" customHeight="1">
      <c r="A21" s="8">
        <v>45621.77928052083</v>
      </c>
      <c r="B21" s="9">
        <v>20.0</v>
      </c>
      <c r="C21" s="10" t="str">
        <f t="shared" si="1"/>
        <v>BRUNA LUIZA SOUZA SILVA DE JESUS </v>
      </c>
      <c r="D21" s="9" t="s">
        <v>82</v>
      </c>
      <c r="E21" s="11">
        <v>30114.0</v>
      </c>
      <c r="F21" s="10">
        <f t="shared" si="2"/>
        <v>43</v>
      </c>
      <c r="G21" s="10" t="str">
        <f t="shared" si="3"/>
        <v>junho</v>
      </c>
      <c r="H21" s="12">
        <v>2.7997566031E10</v>
      </c>
      <c r="I21" s="13" t="s">
        <v>42</v>
      </c>
      <c r="J21" s="10"/>
      <c r="K21" s="13" t="s">
        <v>49</v>
      </c>
      <c r="L21" s="9" t="s">
        <v>116</v>
      </c>
      <c r="M21" s="10"/>
      <c r="N21" s="9" t="s">
        <v>117</v>
      </c>
      <c r="O21" s="9">
        <v>48.0</v>
      </c>
      <c r="P21" s="9" t="s">
        <v>84</v>
      </c>
      <c r="Q21" s="9" t="s">
        <v>35</v>
      </c>
      <c r="R21" s="9" t="s">
        <v>36</v>
      </c>
      <c r="S21" s="15">
        <v>2.914404E7</v>
      </c>
      <c r="T21" s="13" t="s">
        <v>47</v>
      </c>
      <c r="U21" s="13" t="s">
        <v>47</v>
      </c>
      <c r="V21" s="13" t="s">
        <v>38</v>
      </c>
      <c r="W21" s="13" t="s">
        <v>37</v>
      </c>
      <c r="X21" s="13" t="s">
        <v>37</v>
      </c>
      <c r="Y21" s="13" t="s">
        <v>51</v>
      </c>
      <c r="Z21" s="20" t="s">
        <v>37</v>
      </c>
      <c r="AA21" s="13" t="s">
        <v>40</v>
      </c>
      <c r="AB21" s="10">
        <f t="shared" si="4"/>
        <v>6</v>
      </c>
    </row>
    <row r="22" ht="25.5" customHeight="1">
      <c r="A22" s="8">
        <v>45619.50930085648</v>
      </c>
      <c r="B22" s="9">
        <v>21.0</v>
      </c>
      <c r="C22" s="10" t="str">
        <f t="shared" si="1"/>
        <v>BRUNA WILL MONTEIRO COSTA DIAS </v>
      </c>
      <c r="D22" s="9" t="s">
        <v>118</v>
      </c>
      <c r="E22" s="11">
        <v>31925.0</v>
      </c>
      <c r="F22" s="10">
        <f t="shared" si="2"/>
        <v>38</v>
      </c>
      <c r="G22" s="10" t="str">
        <f t="shared" si="3"/>
        <v>maio</v>
      </c>
      <c r="H22" s="12">
        <v>2.7998361927E10</v>
      </c>
      <c r="I22" s="13" t="s">
        <v>42</v>
      </c>
      <c r="J22" s="10"/>
      <c r="K22" s="13" t="s">
        <v>49</v>
      </c>
      <c r="L22" s="9" t="s">
        <v>119</v>
      </c>
      <c r="M22" s="10"/>
      <c r="N22" s="9" t="s">
        <v>120</v>
      </c>
      <c r="O22" s="9">
        <v>145.0</v>
      </c>
      <c r="P22" s="9" t="s">
        <v>121</v>
      </c>
      <c r="Q22" s="9" t="s">
        <v>35</v>
      </c>
      <c r="R22" s="9" t="s">
        <v>36</v>
      </c>
      <c r="S22" s="15">
        <v>2.9146805E7</v>
      </c>
      <c r="T22" s="13" t="s">
        <v>47</v>
      </c>
      <c r="U22" s="13" t="s">
        <v>47</v>
      </c>
      <c r="V22" s="13" t="s">
        <v>38</v>
      </c>
      <c r="W22" s="13" t="s">
        <v>37</v>
      </c>
      <c r="X22" s="13" t="s">
        <v>37</v>
      </c>
      <c r="Y22" s="13" t="s">
        <v>51</v>
      </c>
      <c r="Z22" s="20" t="s">
        <v>37</v>
      </c>
      <c r="AA22" s="13" t="s">
        <v>40</v>
      </c>
      <c r="AB22" s="10">
        <f t="shared" si="4"/>
        <v>5</v>
      </c>
    </row>
    <row r="23" ht="25.5" customHeight="1">
      <c r="A23" s="8">
        <v>45614.70245378472</v>
      </c>
      <c r="B23" s="9">
        <v>22.0</v>
      </c>
      <c r="C23" s="9" t="str">
        <f t="shared" si="1"/>
        <v>CARLOS WEBERSON DE SOUSA</v>
      </c>
      <c r="D23" s="9" t="s">
        <v>50</v>
      </c>
      <c r="E23" s="11">
        <v>26195.0</v>
      </c>
      <c r="F23" s="16">
        <f t="shared" si="2"/>
        <v>54</v>
      </c>
      <c r="G23" s="17" t="str">
        <f t="shared" si="3"/>
        <v>setembro</v>
      </c>
      <c r="H23" s="12">
        <v>2.799947022E10</v>
      </c>
      <c r="I23" s="13" t="s">
        <v>29</v>
      </c>
      <c r="J23" s="9"/>
      <c r="K23" s="13" t="s">
        <v>49</v>
      </c>
      <c r="L23" s="9" t="s">
        <v>43</v>
      </c>
      <c r="M23" s="10"/>
      <c r="N23" s="9" t="s">
        <v>44</v>
      </c>
      <c r="O23" s="9">
        <v>39.0</v>
      </c>
      <c r="P23" s="9" t="s">
        <v>45</v>
      </c>
      <c r="Q23" s="9" t="s">
        <v>35</v>
      </c>
      <c r="R23" s="9" t="s">
        <v>36</v>
      </c>
      <c r="S23" s="15">
        <v>2.914606E7</v>
      </c>
      <c r="T23" s="13" t="s">
        <v>47</v>
      </c>
      <c r="U23" s="13" t="s">
        <v>47</v>
      </c>
      <c r="V23" s="13" t="s">
        <v>38</v>
      </c>
      <c r="W23" s="13" t="s">
        <v>47</v>
      </c>
      <c r="X23" s="13" t="s">
        <v>47</v>
      </c>
      <c r="Y23" s="13" t="s">
        <v>51</v>
      </c>
      <c r="Z23" s="20" t="s">
        <v>37</v>
      </c>
      <c r="AA23" s="13" t="s">
        <v>40</v>
      </c>
      <c r="AB23" s="18">
        <f t="shared" si="4"/>
        <v>9</v>
      </c>
    </row>
    <row r="24" ht="25.5" customHeight="1">
      <c r="A24" s="8">
        <v>45614.71106722222</v>
      </c>
      <c r="B24" s="9">
        <v>23.0</v>
      </c>
      <c r="C24" s="9" t="str">
        <f t="shared" si="1"/>
        <v>CECÍLIA DE ANDRADE PEREIRA </v>
      </c>
      <c r="D24" s="9" t="s">
        <v>122</v>
      </c>
      <c r="E24" s="11">
        <v>43880.0</v>
      </c>
      <c r="F24" s="16">
        <f t="shared" si="2"/>
        <v>5</v>
      </c>
      <c r="G24" s="17" t="str">
        <f t="shared" si="3"/>
        <v>fevereiro</v>
      </c>
      <c r="H24" s="12">
        <v>2.7999632279E10</v>
      </c>
      <c r="I24" s="13" t="s">
        <v>42</v>
      </c>
      <c r="J24" s="10"/>
      <c r="K24" s="13" t="s">
        <v>30</v>
      </c>
      <c r="L24" s="10"/>
      <c r="M24" s="9" t="s">
        <v>123</v>
      </c>
      <c r="N24" s="9" t="s">
        <v>124</v>
      </c>
      <c r="O24" s="9">
        <v>27.0</v>
      </c>
      <c r="P24" s="9" t="s">
        <v>125</v>
      </c>
      <c r="Q24" s="9" t="s">
        <v>35</v>
      </c>
      <c r="R24" s="9" t="s">
        <v>36</v>
      </c>
      <c r="S24" s="15">
        <v>2.9141195E7</v>
      </c>
      <c r="T24" s="13" t="s">
        <v>37</v>
      </c>
      <c r="U24" s="13" t="s">
        <v>37</v>
      </c>
      <c r="V24" s="13" t="s">
        <v>38</v>
      </c>
      <c r="W24" s="13" t="s">
        <v>37</v>
      </c>
      <c r="X24" s="13" t="s">
        <v>37</v>
      </c>
      <c r="Y24" s="13" t="s">
        <v>39</v>
      </c>
      <c r="Z24" s="20" t="s">
        <v>37</v>
      </c>
      <c r="AA24" s="13" t="s">
        <v>40</v>
      </c>
      <c r="AB24" s="18">
        <f t="shared" si="4"/>
        <v>2</v>
      </c>
    </row>
    <row r="25" ht="25.5" customHeight="1">
      <c r="A25" s="8">
        <v>45614.4777312963</v>
      </c>
      <c r="B25" s="9">
        <v>24.0</v>
      </c>
      <c r="C25" s="9" t="str">
        <f t="shared" si="1"/>
        <v>CHRISTIAN DA SILVA PEREIRA</v>
      </c>
      <c r="D25" s="9" t="s">
        <v>126</v>
      </c>
      <c r="E25" s="11">
        <v>35881.0</v>
      </c>
      <c r="F25" s="21">
        <f t="shared" si="2"/>
        <v>27</v>
      </c>
      <c r="G25" s="17" t="str">
        <f t="shared" si="3"/>
        <v>março</v>
      </c>
      <c r="H25" s="12">
        <v>2.7998114127E10</v>
      </c>
      <c r="I25" s="13" t="s">
        <v>29</v>
      </c>
      <c r="J25" s="9"/>
      <c r="K25" s="13" t="s">
        <v>49</v>
      </c>
      <c r="L25" s="9" t="s">
        <v>127</v>
      </c>
      <c r="M25" s="10"/>
      <c r="N25" s="9" t="s">
        <v>124</v>
      </c>
      <c r="O25" s="9">
        <v>27.0</v>
      </c>
      <c r="P25" s="9" t="s">
        <v>125</v>
      </c>
      <c r="Q25" s="9" t="s">
        <v>35</v>
      </c>
      <c r="R25" s="9" t="s">
        <v>36</v>
      </c>
      <c r="S25" s="15">
        <v>2.9141195E7</v>
      </c>
      <c r="T25" s="13" t="s">
        <v>47</v>
      </c>
      <c r="U25" s="13" t="s">
        <v>47</v>
      </c>
      <c r="V25" s="13" t="s">
        <v>38</v>
      </c>
      <c r="W25" s="13" t="s">
        <v>47</v>
      </c>
      <c r="X25" s="13" t="s">
        <v>37</v>
      </c>
      <c r="Y25" s="13" t="s">
        <v>69</v>
      </c>
      <c r="Z25" s="20" t="s">
        <v>37</v>
      </c>
      <c r="AA25" s="13" t="s">
        <v>40</v>
      </c>
      <c r="AB25" s="18">
        <f t="shared" si="4"/>
        <v>3</v>
      </c>
    </row>
    <row r="26" ht="25.5" customHeight="1">
      <c r="A26" s="8">
        <v>45614.71469108797</v>
      </c>
      <c r="B26" s="9">
        <v>25.0</v>
      </c>
      <c r="C26" s="9" t="str">
        <f t="shared" si="1"/>
        <v>CHRISTOFER DE ANDRADE PEREIRA </v>
      </c>
      <c r="D26" s="9" t="s">
        <v>128</v>
      </c>
      <c r="E26" s="11">
        <v>44704.0</v>
      </c>
      <c r="F26" s="16">
        <f t="shared" si="2"/>
        <v>3</v>
      </c>
      <c r="G26" s="17" t="str">
        <f t="shared" si="3"/>
        <v>maio</v>
      </c>
      <c r="H26" s="12">
        <v>2.7998114127E10</v>
      </c>
      <c r="I26" s="13" t="s">
        <v>29</v>
      </c>
      <c r="J26" s="10"/>
      <c r="K26" s="13" t="s">
        <v>30</v>
      </c>
      <c r="L26" s="10"/>
      <c r="M26" s="9" t="s">
        <v>129</v>
      </c>
      <c r="N26" s="9" t="s">
        <v>124</v>
      </c>
      <c r="O26" s="9">
        <v>27.0</v>
      </c>
      <c r="P26" s="9" t="s">
        <v>125</v>
      </c>
      <c r="Q26" s="9" t="s">
        <v>35</v>
      </c>
      <c r="R26" s="9" t="s">
        <v>36</v>
      </c>
      <c r="S26" s="15">
        <v>2.9141195E7</v>
      </c>
      <c r="T26" s="13" t="s">
        <v>37</v>
      </c>
      <c r="U26" s="13" t="s">
        <v>37</v>
      </c>
      <c r="V26" s="13" t="s">
        <v>38</v>
      </c>
      <c r="W26" s="13" t="s">
        <v>37</v>
      </c>
      <c r="X26" s="13" t="s">
        <v>37</v>
      </c>
      <c r="Y26" s="13" t="s">
        <v>39</v>
      </c>
      <c r="Z26" s="20" t="s">
        <v>37</v>
      </c>
      <c r="AA26" s="13" t="s">
        <v>40</v>
      </c>
      <c r="AB26" s="18">
        <f t="shared" si="4"/>
        <v>5</v>
      </c>
    </row>
    <row r="27" ht="25.5" customHeight="1">
      <c r="A27" s="8">
        <v>45614.721258460646</v>
      </c>
      <c r="B27" s="9">
        <v>26.0</v>
      </c>
      <c r="C27" s="9" t="str">
        <f t="shared" si="1"/>
        <v>CHRISTOPHER ASAFE CRUZ DE SOUSA</v>
      </c>
      <c r="D27" s="9" t="s">
        <v>130</v>
      </c>
      <c r="E27" s="11">
        <v>40567.0</v>
      </c>
      <c r="F27" s="16">
        <f t="shared" si="2"/>
        <v>14</v>
      </c>
      <c r="G27" s="9" t="str">
        <f t="shared" si="3"/>
        <v>janeiro</v>
      </c>
      <c r="H27" s="12">
        <v>2.7996449579E10</v>
      </c>
      <c r="I27" s="13" t="s">
        <v>29</v>
      </c>
      <c r="J27" s="10"/>
      <c r="K27" s="13" t="s">
        <v>30</v>
      </c>
      <c r="L27" s="10"/>
      <c r="M27" s="9" t="s">
        <v>131</v>
      </c>
      <c r="N27" s="9" t="s">
        <v>132</v>
      </c>
      <c r="O27" s="9">
        <v>39.0</v>
      </c>
      <c r="P27" s="9" t="s">
        <v>45</v>
      </c>
      <c r="Q27" s="9" t="s">
        <v>35</v>
      </c>
      <c r="R27" s="9" t="s">
        <v>36</v>
      </c>
      <c r="S27" s="15" t="s">
        <v>46</v>
      </c>
      <c r="T27" s="13" t="s">
        <v>47</v>
      </c>
      <c r="U27" s="13" t="s">
        <v>47</v>
      </c>
      <c r="V27" s="13" t="s">
        <v>38</v>
      </c>
      <c r="W27" s="13" t="s">
        <v>37</v>
      </c>
      <c r="X27" s="13" t="s">
        <v>37</v>
      </c>
      <c r="Y27" s="13" t="s">
        <v>48</v>
      </c>
      <c r="Z27" s="20" t="s">
        <v>37</v>
      </c>
      <c r="AA27" s="13" t="s">
        <v>40</v>
      </c>
      <c r="AB27" s="18">
        <f t="shared" si="4"/>
        <v>1</v>
      </c>
    </row>
    <row r="28" ht="25.5" customHeight="1">
      <c r="A28" s="8">
        <v>45614.55103306713</v>
      </c>
      <c r="B28" s="9">
        <v>27.0</v>
      </c>
      <c r="C28" s="9" t="str">
        <f t="shared" si="1"/>
        <v>CLEBER DE JESUS SEPULCRO </v>
      </c>
      <c r="D28" s="9" t="s">
        <v>133</v>
      </c>
      <c r="E28" s="11">
        <v>28636.0</v>
      </c>
      <c r="F28" s="16">
        <f t="shared" si="2"/>
        <v>47</v>
      </c>
      <c r="G28" s="17" t="str">
        <f t="shared" si="3"/>
        <v>maio</v>
      </c>
      <c r="H28" s="12">
        <v>2.7998519473E10</v>
      </c>
      <c r="I28" s="13" t="s">
        <v>29</v>
      </c>
      <c r="J28" s="9"/>
      <c r="K28" s="13" t="s">
        <v>49</v>
      </c>
      <c r="L28" s="9" t="s">
        <v>134</v>
      </c>
      <c r="M28" s="9"/>
      <c r="N28" s="9" t="s">
        <v>135</v>
      </c>
      <c r="O28" s="9">
        <v>100.0</v>
      </c>
      <c r="P28" s="9" t="s">
        <v>136</v>
      </c>
      <c r="Q28" s="9" t="s">
        <v>35</v>
      </c>
      <c r="R28" s="9" t="s">
        <v>36</v>
      </c>
      <c r="S28" s="15">
        <v>2.91498E7</v>
      </c>
      <c r="T28" s="13" t="s">
        <v>47</v>
      </c>
      <c r="U28" s="13" t="s">
        <v>47</v>
      </c>
      <c r="V28" s="13" t="s">
        <v>38</v>
      </c>
      <c r="W28" s="13" t="s">
        <v>37</v>
      </c>
      <c r="X28" s="13" t="s">
        <v>37</v>
      </c>
      <c r="Y28" s="13" t="s">
        <v>51</v>
      </c>
      <c r="Z28" s="20" t="s">
        <v>37</v>
      </c>
      <c r="AA28" s="13" t="s">
        <v>40</v>
      </c>
      <c r="AB28" s="18">
        <f t="shared" si="4"/>
        <v>5</v>
      </c>
    </row>
    <row r="29" ht="25.5" customHeight="1">
      <c r="A29" s="8">
        <v>45614.70149216436</v>
      </c>
      <c r="B29" s="9">
        <v>28.0</v>
      </c>
      <c r="C29" s="9" t="str">
        <f t="shared" si="1"/>
        <v>CRISLAYNE DE SOUZA ANDRADE PEREIRA </v>
      </c>
      <c r="D29" s="9" t="s">
        <v>137</v>
      </c>
      <c r="E29" s="11">
        <v>36353.0</v>
      </c>
      <c r="F29" s="16">
        <f t="shared" si="2"/>
        <v>26</v>
      </c>
      <c r="G29" s="17" t="str">
        <f t="shared" si="3"/>
        <v>julho</v>
      </c>
      <c r="H29" s="12">
        <v>2.7999632279E10</v>
      </c>
      <c r="I29" s="13" t="s">
        <v>42</v>
      </c>
      <c r="J29" s="9"/>
      <c r="K29" s="13" t="s">
        <v>49</v>
      </c>
      <c r="L29" s="9" t="s">
        <v>138</v>
      </c>
      <c r="M29" s="10"/>
      <c r="N29" s="9" t="s">
        <v>124</v>
      </c>
      <c r="O29" s="9">
        <v>27.0</v>
      </c>
      <c r="P29" s="9" t="s">
        <v>125</v>
      </c>
      <c r="Q29" s="9" t="s">
        <v>35</v>
      </c>
      <c r="R29" s="9" t="s">
        <v>36</v>
      </c>
      <c r="S29" s="15">
        <v>2.9141195E7</v>
      </c>
      <c r="T29" s="13" t="s">
        <v>47</v>
      </c>
      <c r="U29" s="13" t="s">
        <v>47</v>
      </c>
      <c r="V29" s="13" t="s">
        <v>38</v>
      </c>
      <c r="W29" s="13" t="s">
        <v>47</v>
      </c>
      <c r="X29" s="13" t="s">
        <v>37</v>
      </c>
      <c r="Y29" s="13" t="s">
        <v>69</v>
      </c>
      <c r="Z29" s="20" t="s">
        <v>37</v>
      </c>
      <c r="AA29" s="13" t="s">
        <v>40</v>
      </c>
      <c r="AB29" s="18">
        <f t="shared" si="4"/>
        <v>7</v>
      </c>
    </row>
    <row r="30" ht="25.5" customHeight="1">
      <c r="A30" s="22">
        <v>45613.506241145835</v>
      </c>
      <c r="B30" s="9">
        <v>29.0</v>
      </c>
      <c r="C30" s="23" t="str">
        <f t="shared" si="1"/>
        <v>DANIEL SANTIAGO NERIS </v>
      </c>
      <c r="D30" s="23" t="s">
        <v>139</v>
      </c>
      <c r="E30" s="24">
        <v>36373.0</v>
      </c>
      <c r="F30" s="21">
        <f t="shared" si="2"/>
        <v>26</v>
      </c>
      <c r="G30" s="25" t="str">
        <f t="shared" si="3"/>
        <v>agosto</v>
      </c>
      <c r="H30" s="26">
        <v>2.7988275109E10</v>
      </c>
      <c r="I30" s="20" t="s">
        <v>29</v>
      </c>
      <c r="J30" s="23"/>
      <c r="K30" s="20" t="s">
        <v>49</v>
      </c>
      <c r="L30" s="23" t="s">
        <v>140</v>
      </c>
      <c r="M30" s="23"/>
      <c r="N30" s="23">
        <v>12.0</v>
      </c>
      <c r="O30" s="23">
        <v>102.0</v>
      </c>
      <c r="P30" s="23" t="s">
        <v>93</v>
      </c>
      <c r="Q30" s="23" t="s">
        <v>35</v>
      </c>
      <c r="R30" s="23" t="s">
        <v>36</v>
      </c>
      <c r="S30" s="27">
        <v>2.915741E7</v>
      </c>
      <c r="T30" s="20" t="s">
        <v>37</v>
      </c>
      <c r="U30" s="20" t="s">
        <v>37</v>
      </c>
      <c r="V30" s="20" t="s">
        <v>38</v>
      </c>
      <c r="W30" s="20" t="s">
        <v>37</v>
      </c>
      <c r="X30" s="13" t="s">
        <v>37</v>
      </c>
      <c r="Y30" s="20" t="s">
        <v>69</v>
      </c>
      <c r="Z30" s="20" t="s">
        <v>37</v>
      </c>
      <c r="AA30" s="13" t="s">
        <v>40</v>
      </c>
      <c r="AB30" s="18">
        <f t="shared" si="4"/>
        <v>8</v>
      </c>
    </row>
    <row r="31" ht="25.5" customHeight="1">
      <c r="A31" s="8">
        <v>45621.86878638889</v>
      </c>
      <c r="B31" s="9">
        <v>30.0</v>
      </c>
      <c r="C31" s="10" t="str">
        <f t="shared" si="1"/>
        <v>DAVI DE LIMA AZEVEDO </v>
      </c>
      <c r="D31" s="9" t="s">
        <v>141</v>
      </c>
      <c r="E31" s="11">
        <v>41892.0</v>
      </c>
      <c r="F31" s="10">
        <f t="shared" si="2"/>
        <v>11</v>
      </c>
      <c r="G31" s="10" t="str">
        <f t="shared" si="3"/>
        <v>setembro</v>
      </c>
      <c r="H31" s="12">
        <v>2.7998965321E10</v>
      </c>
      <c r="I31" s="13" t="s">
        <v>29</v>
      </c>
      <c r="J31" s="10"/>
      <c r="K31" s="13" t="s">
        <v>30</v>
      </c>
      <c r="L31" s="10"/>
      <c r="M31" s="9" t="s">
        <v>142</v>
      </c>
      <c r="N31" s="9" t="s">
        <v>143</v>
      </c>
      <c r="O31" s="9">
        <v>15.0</v>
      </c>
      <c r="P31" s="9" t="s">
        <v>144</v>
      </c>
      <c r="Q31" s="9" t="s">
        <v>76</v>
      </c>
      <c r="R31" s="9" t="s">
        <v>36</v>
      </c>
      <c r="S31" s="15">
        <v>2.913618E7</v>
      </c>
      <c r="T31" s="13" t="s">
        <v>47</v>
      </c>
      <c r="U31" s="13" t="s">
        <v>47</v>
      </c>
      <c r="V31" s="13" t="s">
        <v>38</v>
      </c>
      <c r="W31" s="13" t="s">
        <v>37</v>
      </c>
      <c r="X31" s="13" t="s">
        <v>37</v>
      </c>
      <c r="Y31" s="13" t="s">
        <v>85</v>
      </c>
      <c r="Z31" s="20" t="s">
        <v>37</v>
      </c>
      <c r="AA31" s="13" t="s">
        <v>40</v>
      </c>
      <c r="AB31" s="10">
        <f t="shared" si="4"/>
        <v>9</v>
      </c>
    </row>
    <row r="32" ht="25.5" customHeight="1">
      <c r="A32" s="8">
        <v>45621.78203149306</v>
      </c>
      <c r="B32" s="9">
        <v>31.0</v>
      </c>
      <c r="C32" s="10" t="str">
        <f t="shared" si="1"/>
        <v>DAVI SOUZA MATOS MOURA </v>
      </c>
      <c r="D32" s="9" t="s">
        <v>145</v>
      </c>
      <c r="E32" s="11">
        <v>41033.0</v>
      </c>
      <c r="F32" s="10">
        <f t="shared" si="2"/>
        <v>13</v>
      </c>
      <c r="G32" s="10" t="str">
        <f t="shared" si="3"/>
        <v>maio</v>
      </c>
      <c r="H32" s="12">
        <v>2.7997566031E10</v>
      </c>
      <c r="I32" s="13" t="s">
        <v>29</v>
      </c>
      <c r="J32" s="10"/>
      <c r="K32" s="13" t="s">
        <v>30</v>
      </c>
      <c r="L32" s="10"/>
      <c r="M32" s="9" t="s">
        <v>82</v>
      </c>
      <c r="N32" s="9" t="s">
        <v>83</v>
      </c>
      <c r="O32" s="9">
        <v>48.0</v>
      </c>
      <c r="P32" s="9" t="s">
        <v>84</v>
      </c>
      <c r="Q32" s="9" t="s">
        <v>35</v>
      </c>
      <c r="R32" s="9" t="s">
        <v>36</v>
      </c>
      <c r="S32" s="15">
        <v>2.914404E7</v>
      </c>
      <c r="T32" s="13" t="s">
        <v>47</v>
      </c>
      <c r="U32" s="13" t="s">
        <v>47</v>
      </c>
      <c r="V32" s="13" t="s">
        <v>38</v>
      </c>
      <c r="W32" s="13" t="s">
        <v>37</v>
      </c>
      <c r="X32" s="13" t="s">
        <v>37</v>
      </c>
      <c r="Y32" s="13" t="s">
        <v>48</v>
      </c>
      <c r="Z32" s="20" t="s">
        <v>37</v>
      </c>
      <c r="AA32" s="13" t="s">
        <v>40</v>
      </c>
      <c r="AB32" s="10">
        <f t="shared" si="4"/>
        <v>5</v>
      </c>
    </row>
    <row r="33" ht="25.5" customHeight="1">
      <c r="A33" s="8">
        <v>45614.52996255787</v>
      </c>
      <c r="B33" s="9">
        <v>32.0</v>
      </c>
      <c r="C33" s="9" t="str">
        <f t="shared" si="1"/>
        <v>DIEGO SARMENTO LOPES</v>
      </c>
      <c r="D33" s="9" t="s">
        <v>146</v>
      </c>
      <c r="E33" s="11">
        <v>32311.0</v>
      </c>
      <c r="F33" s="16">
        <f t="shared" si="2"/>
        <v>37</v>
      </c>
      <c r="G33" s="17" t="str">
        <f t="shared" si="3"/>
        <v>junho</v>
      </c>
      <c r="H33" s="12">
        <v>2.7999976075E10</v>
      </c>
      <c r="I33" s="13" t="s">
        <v>29</v>
      </c>
      <c r="J33" s="9"/>
      <c r="K33" s="13" t="s">
        <v>49</v>
      </c>
      <c r="L33" s="9" t="s">
        <v>147</v>
      </c>
      <c r="M33" s="10"/>
      <c r="N33" s="9" t="s">
        <v>148</v>
      </c>
      <c r="O33" s="9">
        <v>509.0</v>
      </c>
      <c r="P33" s="9" t="s">
        <v>149</v>
      </c>
      <c r="Q33" s="9" t="s">
        <v>35</v>
      </c>
      <c r="R33" s="9" t="s">
        <v>36</v>
      </c>
      <c r="S33" s="15">
        <v>2.9145334E7</v>
      </c>
      <c r="T33" s="13" t="s">
        <v>47</v>
      </c>
      <c r="U33" s="13" t="s">
        <v>47</v>
      </c>
      <c r="V33" s="13" t="s">
        <v>38</v>
      </c>
      <c r="W33" s="13" t="s">
        <v>47</v>
      </c>
      <c r="X33" s="13" t="s">
        <v>47</v>
      </c>
      <c r="Y33" s="13" t="s">
        <v>51</v>
      </c>
      <c r="Z33" s="20" t="s">
        <v>37</v>
      </c>
      <c r="AA33" s="13" t="s">
        <v>40</v>
      </c>
      <c r="AB33" s="18">
        <f t="shared" si="4"/>
        <v>6</v>
      </c>
    </row>
    <row r="34" ht="25.5" customHeight="1">
      <c r="A34" s="8">
        <v>45614.741014224535</v>
      </c>
      <c r="B34" s="9">
        <v>33.0</v>
      </c>
      <c r="C34" s="9" t="str">
        <f t="shared" si="1"/>
        <v>EDERSON FLÁVIO DA SILVA</v>
      </c>
      <c r="D34" s="9" t="s">
        <v>150</v>
      </c>
      <c r="E34" s="11">
        <v>29440.0</v>
      </c>
      <c r="F34" s="16">
        <f t="shared" si="2"/>
        <v>45</v>
      </c>
      <c r="G34" s="9" t="str">
        <f t="shared" si="3"/>
        <v>agosto</v>
      </c>
      <c r="H34" s="12">
        <v>2.7988640283E10</v>
      </c>
      <c r="I34" s="13" t="s">
        <v>29</v>
      </c>
      <c r="J34" s="9"/>
      <c r="K34" s="13" t="s">
        <v>49</v>
      </c>
      <c r="L34" s="9" t="s">
        <v>151</v>
      </c>
      <c r="M34" s="10"/>
      <c r="N34" s="9" t="s">
        <v>152</v>
      </c>
      <c r="O34" s="9">
        <v>59.0</v>
      </c>
      <c r="P34" s="9" t="s">
        <v>121</v>
      </c>
      <c r="Q34" s="9" t="s">
        <v>35</v>
      </c>
      <c r="R34" s="9" t="s">
        <v>36</v>
      </c>
      <c r="S34" s="15">
        <v>2.914684E7</v>
      </c>
      <c r="T34" s="13" t="s">
        <v>47</v>
      </c>
      <c r="U34" s="13" t="s">
        <v>47</v>
      </c>
      <c r="V34" s="13" t="s">
        <v>38</v>
      </c>
      <c r="W34" s="13" t="s">
        <v>37</v>
      </c>
      <c r="X34" s="13" t="s">
        <v>37</v>
      </c>
      <c r="Y34" s="13" t="s">
        <v>51</v>
      </c>
      <c r="Z34" s="20" t="s">
        <v>37</v>
      </c>
      <c r="AA34" s="13" t="s">
        <v>40</v>
      </c>
      <c r="AB34" s="18">
        <f t="shared" si="4"/>
        <v>8</v>
      </c>
    </row>
    <row r="35" ht="25.5" customHeight="1">
      <c r="A35" s="8">
        <v>45618.25727008102</v>
      </c>
      <c r="B35" s="9">
        <v>34.0</v>
      </c>
      <c r="C35" s="10" t="str">
        <f t="shared" si="1"/>
        <v>EDILENE RONQUETTI </v>
      </c>
      <c r="D35" s="9" t="s">
        <v>72</v>
      </c>
      <c r="E35" s="11">
        <v>22177.0</v>
      </c>
      <c r="F35" s="16">
        <f t="shared" si="2"/>
        <v>65</v>
      </c>
      <c r="G35" s="10" t="str">
        <f t="shared" si="3"/>
        <v>setembro</v>
      </c>
      <c r="H35" s="12">
        <v>2.7999549551E10</v>
      </c>
      <c r="I35" s="13" t="s">
        <v>42</v>
      </c>
      <c r="J35" s="9"/>
      <c r="K35" s="13" t="s">
        <v>30</v>
      </c>
      <c r="L35" s="9"/>
      <c r="M35" s="10"/>
      <c r="N35" s="9" t="s">
        <v>153</v>
      </c>
      <c r="O35" s="9">
        <v>311.0</v>
      </c>
      <c r="P35" s="9" t="s">
        <v>154</v>
      </c>
      <c r="Q35" s="9" t="s">
        <v>35</v>
      </c>
      <c r="R35" s="9" t="s">
        <v>36</v>
      </c>
      <c r="S35" s="15" t="s">
        <v>155</v>
      </c>
      <c r="T35" s="13" t="s">
        <v>47</v>
      </c>
      <c r="U35" s="13" t="s">
        <v>47</v>
      </c>
      <c r="V35" s="13" t="s">
        <v>38</v>
      </c>
      <c r="W35" s="13" t="s">
        <v>37</v>
      </c>
      <c r="X35" s="13" t="s">
        <v>37</v>
      </c>
      <c r="Y35" s="13" t="s">
        <v>65</v>
      </c>
      <c r="Z35" s="20" t="s">
        <v>37</v>
      </c>
      <c r="AA35" s="13" t="s">
        <v>40</v>
      </c>
      <c r="AB35" s="10">
        <f t="shared" si="4"/>
        <v>9</v>
      </c>
    </row>
    <row r="36" ht="25.5" customHeight="1">
      <c r="A36" s="8">
        <v>45621.777025891206</v>
      </c>
      <c r="B36" s="9">
        <v>35.0</v>
      </c>
      <c r="C36" s="10" t="str">
        <f t="shared" si="1"/>
        <v>EDILSON AZEVEDO DE JESUS </v>
      </c>
      <c r="D36" s="9" t="s">
        <v>116</v>
      </c>
      <c r="E36" s="11">
        <v>27979.0</v>
      </c>
      <c r="F36" s="10">
        <f t="shared" si="2"/>
        <v>49</v>
      </c>
      <c r="G36" s="10" t="str">
        <f t="shared" si="3"/>
        <v>agosto</v>
      </c>
      <c r="H36" s="12">
        <v>2.7998878752E10</v>
      </c>
      <c r="I36" s="13" t="s">
        <v>29</v>
      </c>
      <c r="J36" s="10"/>
      <c r="K36" s="13" t="s">
        <v>49</v>
      </c>
      <c r="L36" s="9" t="s">
        <v>82</v>
      </c>
      <c r="M36" s="10"/>
      <c r="N36" s="9" t="s">
        <v>83</v>
      </c>
      <c r="O36" s="9">
        <v>48.0</v>
      </c>
      <c r="P36" s="9" t="s">
        <v>84</v>
      </c>
      <c r="Q36" s="9" t="s">
        <v>35</v>
      </c>
      <c r="R36" s="9" t="s">
        <v>36</v>
      </c>
      <c r="S36" s="15">
        <v>2.914404E7</v>
      </c>
      <c r="T36" s="13" t="s">
        <v>47</v>
      </c>
      <c r="U36" s="13" t="s">
        <v>47</v>
      </c>
      <c r="V36" s="13" t="s">
        <v>38</v>
      </c>
      <c r="W36" s="13" t="s">
        <v>37</v>
      </c>
      <c r="X36" s="13" t="s">
        <v>37</v>
      </c>
      <c r="Y36" s="13" t="s">
        <v>51</v>
      </c>
      <c r="Z36" s="20" t="s">
        <v>37</v>
      </c>
      <c r="AA36" s="13" t="s">
        <v>40</v>
      </c>
      <c r="AB36" s="10">
        <f t="shared" si="4"/>
        <v>8</v>
      </c>
    </row>
    <row r="37" ht="25.5" customHeight="1">
      <c r="A37" s="8">
        <v>45619.57610677084</v>
      </c>
      <c r="B37" s="9">
        <v>36.0</v>
      </c>
      <c r="C37" s="10" t="str">
        <f t="shared" si="1"/>
        <v>ELITA DA PENHA PEGO PEREIRA </v>
      </c>
      <c r="D37" s="9" t="s">
        <v>156</v>
      </c>
      <c r="E37" s="11">
        <v>21067.0</v>
      </c>
      <c r="F37" s="10">
        <f t="shared" si="2"/>
        <v>68</v>
      </c>
      <c r="G37" s="10" t="str">
        <f t="shared" si="3"/>
        <v>setembro</v>
      </c>
      <c r="H37" s="12">
        <v>2.7992550419E10</v>
      </c>
      <c r="I37" s="13" t="s">
        <v>42</v>
      </c>
      <c r="J37" s="10"/>
      <c r="K37" s="13" t="s">
        <v>49</v>
      </c>
      <c r="L37" s="9" t="s">
        <v>157</v>
      </c>
      <c r="M37" s="10"/>
      <c r="N37" s="9" t="s">
        <v>158</v>
      </c>
      <c r="O37" s="9">
        <v>68.0</v>
      </c>
      <c r="P37" s="9" t="s">
        <v>159</v>
      </c>
      <c r="Q37" s="9" t="s">
        <v>35</v>
      </c>
      <c r="R37" s="9" t="s">
        <v>36</v>
      </c>
      <c r="S37" s="15">
        <v>2.914579E7</v>
      </c>
      <c r="T37" s="13" t="s">
        <v>47</v>
      </c>
      <c r="U37" s="13" t="s">
        <v>37</v>
      </c>
      <c r="V37" s="13" t="s">
        <v>160</v>
      </c>
      <c r="W37" s="13" t="s">
        <v>37</v>
      </c>
      <c r="X37" s="13" t="s">
        <v>37</v>
      </c>
      <c r="Y37" s="13" t="s">
        <v>65</v>
      </c>
      <c r="Z37" s="13" t="s">
        <v>37</v>
      </c>
      <c r="AA37" s="13" t="s">
        <v>40</v>
      </c>
      <c r="AB37" s="10">
        <f t="shared" si="4"/>
        <v>9</v>
      </c>
    </row>
    <row r="38" ht="25.5" customHeight="1">
      <c r="A38" s="8">
        <v>45657.52243686342</v>
      </c>
      <c r="B38" s="9">
        <v>37.0</v>
      </c>
      <c r="C38" s="10" t="str">
        <f t="shared" si="1"/>
        <v>ELOÁH DE SOUZA MOREIRA </v>
      </c>
      <c r="D38" s="9" t="s">
        <v>161</v>
      </c>
      <c r="E38" s="11">
        <v>44471.0</v>
      </c>
      <c r="F38" s="10">
        <f t="shared" si="2"/>
        <v>4</v>
      </c>
      <c r="G38" s="10" t="str">
        <f t="shared" si="3"/>
        <v>outubro</v>
      </c>
      <c r="H38" s="12">
        <v>2.7999073362E10</v>
      </c>
      <c r="I38" s="13" t="s">
        <v>42</v>
      </c>
      <c r="J38" s="10"/>
      <c r="K38" s="13" t="s">
        <v>30</v>
      </c>
      <c r="L38" s="10"/>
      <c r="M38" s="9" t="s">
        <v>162</v>
      </c>
      <c r="N38" s="9" t="s">
        <v>163</v>
      </c>
      <c r="O38" s="9">
        <v>1035.0</v>
      </c>
      <c r="P38" s="9" t="s">
        <v>164</v>
      </c>
      <c r="Q38" s="9" t="s">
        <v>35</v>
      </c>
      <c r="R38" s="9" t="s">
        <v>36</v>
      </c>
      <c r="S38" s="15" t="s">
        <v>165</v>
      </c>
      <c r="T38" s="13" t="s">
        <v>37</v>
      </c>
      <c r="U38" s="20" t="s">
        <v>37</v>
      </c>
      <c r="V38" s="13" t="s">
        <v>38</v>
      </c>
      <c r="W38" s="13" t="s">
        <v>37</v>
      </c>
      <c r="X38" s="13" t="s">
        <v>37</v>
      </c>
      <c r="Y38" s="13" t="s">
        <v>39</v>
      </c>
      <c r="Z38" s="13" t="s">
        <v>37</v>
      </c>
      <c r="AA38" s="13" t="s">
        <v>40</v>
      </c>
      <c r="AB38" s="10">
        <f t="shared" si="4"/>
        <v>10</v>
      </c>
    </row>
    <row r="39" ht="25.5" customHeight="1">
      <c r="A39" s="22">
        <v>45613.506435856485</v>
      </c>
      <c r="B39" s="9">
        <v>38.0</v>
      </c>
      <c r="C39" s="23" t="str">
        <f t="shared" si="1"/>
        <v>EMANUEL MOUZINHO ALMEIDA</v>
      </c>
      <c r="D39" s="23" t="s">
        <v>166</v>
      </c>
      <c r="E39" s="24">
        <v>43755.0</v>
      </c>
      <c r="F39" s="21">
        <f t="shared" si="2"/>
        <v>6</v>
      </c>
      <c r="G39" s="31" t="str">
        <f t="shared" si="3"/>
        <v>outubro</v>
      </c>
      <c r="H39" s="26">
        <v>2.7997226172E10</v>
      </c>
      <c r="I39" s="20" t="s">
        <v>29</v>
      </c>
      <c r="J39" s="28"/>
      <c r="K39" s="20" t="s">
        <v>30</v>
      </c>
      <c r="L39" s="28"/>
      <c r="M39" s="23" t="s">
        <v>99</v>
      </c>
      <c r="N39" s="23" t="s">
        <v>101</v>
      </c>
      <c r="O39" s="23">
        <v>40.0</v>
      </c>
      <c r="P39" s="23" t="s">
        <v>102</v>
      </c>
      <c r="Q39" s="23" t="s">
        <v>35</v>
      </c>
      <c r="R39" s="23" t="s">
        <v>36</v>
      </c>
      <c r="S39" s="27">
        <v>2.914365E7</v>
      </c>
      <c r="T39" s="20" t="s">
        <v>37</v>
      </c>
      <c r="U39" s="20" t="s">
        <v>37</v>
      </c>
      <c r="V39" s="20" t="s">
        <v>38</v>
      </c>
      <c r="W39" s="20" t="s">
        <v>37</v>
      </c>
      <c r="X39" s="13" t="s">
        <v>37</v>
      </c>
      <c r="Y39" s="20" t="s">
        <v>39</v>
      </c>
      <c r="Z39" s="20" t="s">
        <v>37</v>
      </c>
      <c r="AA39" s="13" t="s">
        <v>40</v>
      </c>
      <c r="AB39" s="18">
        <f t="shared" si="4"/>
        <v>10</v>
      </c>
    </row>
    <row r="40" ht="25.5" customHeight="1">
      <c r="A40" s="8">
        <v>45621.78675940972</v>
      </c>
      <c r="B40" s="9">
        <v>39.0</v>
      </c>
      <c r="C40" s="10" t="str">
        <f t="shared" si="1"/>
        <v>EMANUELA SOUZA SILVA NOVAIS </v>
      </c>
      <c r="D40" s="9" t="s">
        <v>167</v>
      </c>
      <c r="E40" s="11">
        <v>39186.0</v>
      </c>
      <c r="F40" s="10">
        <f t="shared" si="2"/>
        <v>18</v>
      </c>
      <c r="G40" s="10" t="str">
        <f t="shared" si="3"/>
        <v>abril</v>
      </c>
      <c r="H40" s="12">
        <v>2.7997566031E10</v>
      </c>
      <c r="I40" s="13" t="s">
        <v>42</v>
      </c>
      <c r="J40" s="10"/>
      <c r="K40" s="13" t="s">
        <v>30</v>
      </c>
      <c r="L40" s="10"/>
      <c r="M40" s="9" t="s">
        <v>82</v>
      </c>
      <c r="N40" s="9" t="s">
        <v>83</v>
      </c>
      <c r="O40" s="9">
        <v>48.0</v>
      </c>
      <c r="P40" s="9" t="s">
        <v>84</v>
      </c>
      <c r="Q40" s="9" t="s">
        <v>35</v>
      </c>
      <c r="R40" s="9" t="s">
        <v>36</v>
      </c>
      <c r="S40" s="15">
        <v>2.914404E7</v>
      </c>
      <c r="T40" s="13" t="s">
        <v>37</v>
      </c>
      <c r="U40" s="13" t="s">
        <v>37</v>
      </c>
      <c r="V40" s="13" t="s">
        <v>38</v>
      </c>
      <c r="W40" s="13" t="s">
        <v>37</v>
      </c>
      <c r="X40" s="13" t="s">
        <v>37</v>
      </c>
      <c r="Y40" s="13" t="s">
        <v>48</v>
      </c>
      <c r="Z40" s="20" t="s">
        <v>37</v>
      </c>
      <c r="AA40" s="13" t="s">
        <v>40</v>
      </c>
      <c r="AB40" s="10">
        <f t="shared" si="4"/>
        <v>4</v>
      </c>
    </row>
    <row r="41" ht="25.5" customHeight="1">
      <c r="A41" s="8">
        <v>45631.37109540509</v>
      </c>
      <c r="B41" s="9">
        <v>40.0</v>
      </c>
      <c r="C41" s="10" t="str">
        <f t="shared" si="1"/>
        <v>EMILIA ANSELMO FERNANDES</v>
      </c>
      <c r="D41" s="9" t="s">
        <v>168</v>
      </c>
      <c r="E41" s="11">
        <v>13044.0</v>
      </c>
      <c r="F41" s="10">
        <f t="shared" si="2"/>
        <v>90</v>
      </c>
      <c r="G41" s="10" t="str">
        <f t="shared" si="3"/>
        <v>setembro</v>
      </c>
      <c r="H41" s="12">
        <v>2.7981466347E10</v>
      </c>
      <c r="I41" s="13" t="s">
        <v>42</v>
      </c>
      <c r="J41" s="10"/>
      <c r="K41" s="19"/>
      <c r="L41" s="10"/>
      <c r="M41" s="10"/>
      <c r="N41" s="9" t="s">
        <v>169</v>
      </c>
      <c r="O41" s="9">
        <v>37.0</v>
      </c>
      <c r="P41" s="9" t="s">
        <v>170</v>
      </c>
      <c r="Q41" s="9" t="s">
        <v>35</v>
      </c>
      <c r="R41" s="9" t="s">
        <v>36</v>
      </c>
      <c r="S41" s="35"/>
      <c r="T41" s="13" t="s">
        <v>47</v>
      </c>
      <c r="U41" s="13" t="s">
        <v>47</v>
      </c>
      <c r="V41" s="13" t="s">
        <v>38</v>
      </c>
      <c r="W41" s="13" t="s">
        <v>37</v>
      </c>
      <c r="X41" s="13" t="s">
        <v>37</v>
      </c>
      <c r="Y41" s="13" t="s">
        <v>65</v>
      </c>
      <c r="Z41" s="20" t="s">
        <v>37</v>
      </c>
      <c r="AA41" s="13" t="s">
        <v>40</v>
      </c>
      <c r="AB41" s="10">
        <f t="shared" si="4"/>
        <v>9</v>
      </c>
    </row>
    <row r="42" ht="25.5" customHeight="1">
      <c r="A42" s="22">
        <v>45612.71464106481</v>
      </c>
      <c r="B42" s="9">
        <v>41.0</v>
      </c>
      <c r="C42" s="23" t="str">
        <f t="shared" si="1"/>
        <v>ERIELTON DE PAULA MELO </v>
      </c>
      <c r="D42" s="23" t="s">
        <v>171</v>
      </c>
      <c r="E42" s="24">
        <v>32436.0</v>
      </c>
      <c r="F42" s="21">
        <f t="shared" si="2"/>
        <v>37</v>
      </c>
      <c r="G42" s="25" t="str">
        <f t="shared" si="3"/>
        <v>outubro</v>
      </c>
      <c r="H42" s="26">
        <v>2.7996225719E10</v>
      </c>
      <c r="I42" s="20" t="s">
        <v>29</v>
      </c>
      <c r="J42" s="23"/>
      <c r="K42" s="20" t="s">
        <v>49</v>
      </c>
      <c r="L42" s="23" t="s">
        <v>172</v>
      </c>
      <c r="M42" s="28"/>
      <c r="N42" s="23" t="s">
        <v>173</v>
      </c>
      <c r="O42" s="23">
        <v>161.0</v>
      </c>
      <c r="P42" s="23" t="s">
        <v>174</v>
      </c>
      <c r="Q42" s="23" t="s">
        <v>35</v>
      </c>
      <c r="R42" s="23" t="s">
        <v>36</v>
      </c>
      <c r="S42" s="27" t="s">
        <v>175</v>
      </c>
      <c r="T42" s="20" t="s">
        <v>47</v>
      </c>
      <c r="U42" s="13" t="s">
        <v>47</v>
      </c>
      <c r="V42" s="20" t="s">
        <v>38</v>
      </c>
      <c r="W42" s="20" t="s">
        <v>47</v>
      </c>
      <c r="X42" s="20" t="s">
        <v>47</v>
      </c>
      <c r="Y42" s="20" t="s">
        <v>51</v>
      </c>
      <c r="Z42" s="20" t="s">
        <v>37</v>
      </c>
      <c r="AA42" s="13" t="s">
        <v>40</v>
      </c>
      <c r="AB42" s="18">
        <f t="shared" si="4"/>
        <v>10</v>
      </c>
    </row>
    <row r="43" ht="25.5" customHeight="1">
      <c r="A43" s="8">
        <v>45619.514078576394</v>
      </c>
      <c r="B43" s="9">
        <v>42.0</v>
      </c>
      <c r="C43" s="10" t="str">
        <f t="shared" si="1"/>
        <v>EVELLYN WILL MONTEIRO COSTA DIAS </v>
      </c>
      <c r="D43" s="9" t="s">
        <v>176</v>
      </c>
      <c r="E43" s="11">
        <v>41787.0</v>
      </c>
      <c r="F43" s="10">
        <f t="shared" si="2"/>
        <v>11</v>
      </c>
      <c r="G43" s="10" t="str">
        <f t="shared" si="3"/>
        <v>maio</v>
      </c>
      <c r="H43" s="12">
        <v>2.7998361927E10</v>
      </c>
      <c r="I43" s="13" t="s">
        <v>42</v>
      </c>
      <c r="J43" s="10"/>
      <c r="K43" s="13" t="s">
        <v>30</v>
      </c>
      <c r="L43" s="10"/>
      <c r="M43" s="9" t="s">
        <v>177</v>
      </c>
      <c r="N43" s="9" t="s">
        <v>178</v>
      </c>
      <c r="O43" s="9">
        <v>145.0</v>
      </c>
      <c r="P43" s="9" t="s">
        <v>179</v>
      </c>
      <c r="Q43" s="9" t="s">
        <v>35</v>
      </c>
      <c r="R43" s="9" t="s">
        <v>36</v>
      </c>
      <c r="S43" s="15">
        <v>2.9246805E7</v>
      </c>
      <c r="T43" s="13" t="s">
        <v>47</v>
      </c>
      <c r="U43" s="13" t="s">
        <v>47</v>
      </c>
      <c r="V43" s="13" t="s">
        <v>38</v>
      </c>
      <c r="W43" s="13" t="s">
        <v>37</v>
      </c>
      <c r="X43" s="13" t="s">
        <v>37</v>
      </c>
      <c r="Y43" s="13" t="s">
        <v>85</v>
      </c>
      <c r="Z43" s="20" t="s">
        <v>37</v>
      </c>
      <c r="AA43" s="13" t="s">
        <v>40</v>
      </c>
      <c r="AB43" s="10">
        <f t="shared" si="4"/>
        <v>5</v>
      </c>
    </row>
    <row r="44" ht="25.5" customHeight="1">
      <c r="A44" s="8">
        <v>45614.60327820602</v>
      </c>
      <c r="B44" s="9">
        <v>43.0</v>
      </c>
      <c r="C44" s="9" t="str">
        <f t="shared" si="1"/>
        <v>EVELYN SANTA CLARA DE PAULA </v>
      </c>
      <c r="D44" s="9" t="s">
        <v>180</v>
      </c>
      <c r="E44" s="11">
        <v>43435.0</v>
      </c>
      <c r="F44" s="16">
        <f t="shared" si="2"/>
        <v>6</v>
      </c>
      <c r="G44" s="36" t="str">
        <f t="shared" si="3"/>
        <v>dezembro</v>
      </c>
      <c r="H44" s="12">
        <v>2.7996225719E10</v>
      </c>
      <c r="I44" s="13" t="s">
        <v>42</v>
      </c>
      <c r="J44" s="10"/>
      <c r="K44" s="13" t="s">
        <v>30</v>
      </c>
      <c r="L44" s="10"/>
      <c r="M44" s="9" t="s">
        <v>171</v>
      </c>
      <c r="N44" s="9" t="s">
        <v>181</v>
      </c>
      <c r="O44" s="9">
        <v>161.0</v>
      </c>
      <c r="P44" s="9" t="s">
        <v>174</v>
      </c>
      <c r="Q44" s="9" t="s">
        <v>35</v>
      </c>
      <c r="R44" s="9" t="s">
        <v>36</v>
      </c>
      <c r="S44" s="15">
        <v>2.9144657E7</v>
      </c>
      <c r="T44" s="13" t="s">
        <v>37</v>
      </c>
      <c r="U44" s="13" t="s">
        <v>37</v>
      </c>
      <c r="V44" s="13" t="s">
        <v>38</v>
      </c>
      <c r="W44" s="13" t="s">
        <v>37</v>
      </c>
      <c r="X44" s="13" t="s">
        <v>37</v>
      </c>
      <c r="Y44" s="13" t="s">
        <v>39</v>
      </c>
      <c r="Z44" s="20" t="s">
        <v>37</v>
      </c>
      <c r="AA44" s="13" t="s">
        <v>40</v>
      </c>
      <c r="AB44" s="18">
        <f t="shared" si="4"/>
        <v>12</v>
      </c>
    </row>
    <row r="45" ht="25.5" customHeight="1">
      <c r="A45" s="8">
        <v>45615.59301196759</v>
      </c>
      <c r="B45" s="9">
        <v>44.0</v>
      </c>
      <c r="C45" s="9" t="str">
        <f t="shared" si="1"/>
        <v>FÁBIO NUNES FERREIRA </v>
      </c>
      <c r="D45" s="9" t="s">
        <v>182</v>
      </c>
      <c r="E45" s="11">
        <v>28443.0</v>
      </c>
      <c r="F45" s="16">
        <f t="shared" si="2"/>
        <v>47</v>
      </c>
      <c r="G45" s="10" t="str">
        <f t="shared" si="3"/>
        <v>novembro</v>
      </c>
      <c r="H45" s="12">
        <v>2.7999168641E10</v>
      </c>
      <c r="I45" s="13" t="s">
        <v>29</v>
      </c>
      <c r="J45" s="9"/>
      <c r="K45" s="13" t="s">
        <v>49</v>
      </c>
      <c r="L45" s="9" t="s">
        <v>183</v>
      </c>
      <c r="M45" s="10"/>
      <c r="N45" s="9" t="s">
        <v>184</v>
      </c>
      <c r="O45" s="9">
        <v>255.0</v>
      </c>
      <c r="P45" s="9" t="s">
        <v>185</v>
      </c>
      <c r="Q45" s="9" t="s">
        <v>35</v>
      </c>
      <c r="R45" s="9" t="s">
        <v>36</v>
      </c>
      <c r="S45" s="15">
        <v>2.914343E7</v>
      </c>
      <c r="T45" s="13" t="s">
        <v>47</v>
      </c>
      <c r="U45" s="13" t="s">
        <v>47</v>
      </c>
      <c r="V45" s="13" t="s">
        <v>38</v>
      </c>
      <c r="W45" s="13" t="s">
        <v>47</v>
      </c>
      <c r="X45" s="13" t="s">
        <v>47</v>
      </c>
      <c r="Y45" s="13" t="s">
        <v>51</v>
      </c>
      <c r="Z45" s="20" t="s">
        <v>37</v>
      </c>
      <c r="AA45" s="13" t="s">
        <v>40</v>
      </c>
      <c r="AB45" s="18">
        <f t="shared" si="4"/>
        <v>11</v>
      </c>
    </row>
    <row r="46" ht="25.5" customHeight="1">
      <c r="A46" s="8">
        <v>45617.440792361114</v>
      </c>
      <c r="B46" s="9">
        <v>45.0</v>
      </c>
      <c r="C46" s="9" t="str">
        <f t="shared" si="1"/>
        <v>FLÁVIO SIQUEIRA </v>
      </c>
      <c r="D46" s="9" t="s">
        <v>186</v>
      </c>
      <c r="E46" s="11">
        <v>26943.0</v>
      </c>
      <c r="F46" s="16">
        <f t="shared" si="2"/>
        <v>52</v>
      </c>
      <c r="G46" s="10" t="str">
        <f t="shared" si="3"/>
        <v>outubro</v>
      </c>
      <c r="H46" s="12">
        <v>2.7998741382E10</v>
      </c>
      <c r="I46" s="13" t="s">
        <v>29</v>
      </c>
      <c r="J46" s="9"/>
      <c r="K46" s="13" t="s">
        <v>49</v>
      </c>
      <c r="L46" s="9" t="s">
        <v>187</v>
      </c>
      <c r="M46" s="10"/>
      <c r="N46" s="9" t="s">
        <v>59</v>
      </c>
      <c r="O46" s="9">
        <v>206.0</v>
      </c>
      <c r="P46" s="9" t="s">
        <v>60</v>
      </c>
      <c r="Q46" s="9" t="s">
        <v>35</v>
      </c>
      <c r="R46" s="9" t="s">
        <v>36</v>
      </c>
      <c r="S46" s="15" t="s">
        <v>188</v>
      </c>
      <c r="T46" s="13" t="s">
        <v>47</v>
      </c>
      <c r="U46" s="13" t="s">
        <v>47</v>
      </c>
      <c r="V46" s="13" t="s">
        <v>38</v>
      </c>
      <c r="W46" s="13" t="s">
        <v>37</v>
      </c>
      <c r="X46" s="13" t="s">
        <v>37</v>
      </c>
      <c r="Y46" s="13" t="s">
        <v>51</v>
      </c>
      <c r="Z46" s="20" t="s">
        <v>37</v>
      </c>
      <c r="AA46" s="13" t="s">
        <v>40</v>
      </c>
      <c r="AB46" s="10">
        <f t="shared" si="4"/>
        <v>10</v>
      </c>
    </row>
    <row r="47" ht="25.5" customHeight="1">
      <c r="A47" s="8">
        <v>45614.61112702546</v>
      </c>
      <c r="B47" s="9">
        <v>46.0</v>
      </c>
      <c r="C47" s="9" t="str">
        <f t="shared" si="1"/>
        <v>GABRIEL DONDONI ALVES </v>
      </c>
      <c r="D47" s="9" t="s">
        <v>189</v>
      </c>
      <c r="E47" s="11">
        <v>36313.0</v>
      </c>
      <c r="F47" s="16">
        <f t="shared" si="2"/>
        <v>26</v>
      </c>
      <c r="G47" s="17" t="str">
        <f t="shared" si="3"/>
        <v>junho</v>
      </c>
      <c r="H47" s="12">
        <v>2.7995905817E10</v>
      </c>
      <c r="I47" s="13" t="s">
        <v>29</v>
      </c>
      <c r="J47" s="9"/>
      <c r="K47" s="13" t="s">
        <v>49</v>
      </c>
      <c r="L47" s="9" t="s">
        <v>190</v>
      </c>
      <c r="M47" s="10"/>
      <c r="N47" s="9" t="s">
        <v>110</v>
      </c>
      <c r="O47" s="9">
        <v>19.0</v>
      </c>
      <c r="P47" s="9" t="s">
        <v>111</v>
      </c>
      <c r="Q47" s="9" t="s">
        <v>35</v>
      </c>
      <c r="R47" s="9" t="s">
        <v>36</v>
      </c>
      <c r="S47" s="15">
        <v>2.9158652E7</v>
      </c>
      <c r="T47" s="13" t="s">
        <v>47</v>
      </c>
      <c r="U47" s="13" t="s">
        <v>47</v>
      </c>
      <c r="V47" s="13" t="s">
        <v>38</v>
      </c>
      <c r="W47" s="13" t="s">
        <v>37</v>
      </c>
      <c r="X47" s="13" t="s">
        <v>37</v>
      </c>
      <c r="Y47" s="13" t="s">
        <v>69</v>
      </c>
      <c r="Z47" s="20" t="s">
        <v>37</v>
      </c>
      <c r="AA47" s="13" t="s">
        <v>40</v>
      </c>
      <c r="AB47" s="18">
        <f t="shared" si="4"/>
        <v>6</v>
      </c>
    </row>
    <row r="48" ht="25.5" customHeight="1">
      <c r="A48" s="8">
        <v>45614.46814210648</v>
      </c>
      <c r="B48" s="9">
        <v>47.0</v>
      </c>
      <c r="C48" s="9" t="str">
        <f t="shared" si="1"/>
        <v>GABRIELLE ROCHA DA SILVA</v>
      </c>
      <c r="D48" s="9" t="s">
        <v>191</v>
      </c>
      <c r="E48" s="11">
        <v>39886.0</v>
      </c>
      <c r="F48" s="21">
        <f t="shared" si="2"/>
        <v>16</v>
      </c>
      <c r="G48" s="17" t="str">
        <f t="shared" si="3"/>
        <v>março</v>
      </c>
      <c r="H48" s="12">
        <v>2.7996486318E10</v>
      </c>
      <c r="I48" s="13" t="s">
        <v>42</v>
      </c>
      <c r="J48" s="9"/>
      <c r="K48" s="13" t="s">
        <v>30</v>
      </c>
      <c r="L48" s="9"/>
      <c r="M48" s="9" t="s">
        <v>192</v>
      </c>
      <c r="N48" s="9" t="s">
        <v>193</v>
      </c>
      <c r="O48" s="9">
        <v>50.0</v>
      </c>
      <c r="P48" s="9" t="s">
        <v>194</v>
      </c>
      <c r="Q48" s="9" t="s">
        <v>76</v>
      </c>
      <c r="R48" s="9" t="s">
        <v>36</v>
      </c>
      <c r="S48" s="15">
        <v>2.9134526E7</v>
      </c>
      <c r="T48" s="13" t="s">
        <v>47</v>
      </c>
      <c r="U48" s="13" t="s">
        <v>47</v>
      </c>
      <c r="V48" s="13" t="s">
        <v>38</v>
      </c>
      <c r="W48" s="13" t="s">
        <v>37</v>
      </c>
      <c r="X48" s="13" t="s">
        <v>37</v>
      </c>
      <c r="Y48" s="13" t="s">
        <v>48</v>
      </c>
      <c r="Z48" s="20" t="s">
        <v>37</v>
      </c>
      <c r="AA48" s="13" t="s">
        <v>40</v>
      </c>
      <c r="AB48" s="18">
        <f t="shared" si="4"/>
        <v>3</v>
      </c>
    </row>
    <row r="49" ht="25.5" customHeight="1">
      <c r="A49" s="8">
        <v>45789.36301609954</v>
      </c>
      <c r="B49" s="9">
        <v>48.0</v>
      </c>
      <c r="C49" s="10" t="str">
        <f t="shared" si="1"/>
        <v>GETÚLIO SILVA CORREA</v>
      </c>
      <c r="D49" s="9" t="s">
        <v>195</v>
      </c>
      <c r="E49" s="11">
        <v>18889.0</v>
      </c>
      <c r="F49" s="10">
        <f t="shared" si="2"/>
        <v>74</v>
      </c>
      <c r="G49" s="10" t="str">
        <f t="shared" si="3"/>
        <v>setembro</v>
      </c>
      <c r="H49" s="12">
        <v>2.7999370112E10</v>
      </c>
      <c r="I49" s="13" t="s">
        <v>29</v>
      </c>
      <c r="J49" s="10"/>
      <c r="K49" s="19"/>
      <c r="L49" s="10"/>
      <c r="M49" s="10"/>
      <c r="N49" s="9" t="s">
        <v>196</v>
      </c>
      <c r="O49" s="14" t="s">
        <v>64</v>
      </c>
      <c r="P49" s="9" t="s">
        <v>197</v>
      </c>
      <c r="Q49" s="9" t="s">
        <v>35</v>
      </c>
      <c r="R49" s="9" t="s">
        <v>36</v>
      </c>
      <c r="S49" s="35"/>
      <c r="T49" s="13" t="s">
        <v>47</v>
      </c>
      <c r="U49" s="13" t="s">
        <v>37</v>
      </c>
      <c r="V49" s="13" t="s">
        <v>38</v>
      </c>
      <c r="W49" s="13" t="s">
        <v>37</v>
      </c>
      <c r="X49" s="13" t="s">
        <v>37</v>
      </c>
      <c r="Y49" s="13" t="s">
        <v>65</v>
      </c>
      <c r="Z49" s="13" t="s">
        <v>37</v>
      </c>
      <c r="AA49" s="13" t="s">
        <v>40</v>
      </c>
      <c r="AB49" s="10">
        <f t="shared" si="4"/>
        <v>9</v>
      </c>
    </row>
    <row r="50" ht="25.5" customHeight="1">
      <c r="A50" s="8">
        <v>45620.88598689815</v>
      </c>
      <c r="B50" s="9">
        <v>49.0</v>
      </c>
      <c r="C50" s="10" t="str">
        <f t="shared" si="1"/>
        <v>GILDAZIO LIMA DOS SANTOS </v>
      </c>
      <c r="D50" s="9" t="s">
        <v>198</v>
      </c>
      <c r="E50" s="11">
        <v>34336.0</v>
      </c>
      <c r="F50" s="10">
        <f t="shared" si="2"/>
        <v>31</v>
      </c>
      <c r="G50" s="10" t="str">
        <f t="shared" si="3"/>
        <v>janeiro</v>
      </c>
      <c r="H50" s="12">
        <v>2.7981037306E10</v>
      </c>
      <c r="I50" s="13" t="s">
        <v>29</v>
      </c>
      <c r="J50" s="10"/>
      <c r="K50" s="13" t="s">
        <v>49</v>
      </c>
      <c r="L50" s="9" t="s">
        <v>199</v>
      </c>
      <c r="M50" s="10"/>
      <c r="N50" s="9" t="s">
        <v>73</v>
      </c>
      <c r="O50" s="14" t="s">
        <v>74</v>
      </c>
      <c r="P50" s="9" t="s">
        <v>200</v>
      </c>
      <c r="Q50" s="9" t="s">
        <v>76</v>
      </c>
      <c r="R50" s="9" t="s">
        <v>36</v>
      </c>
      <c r="S50" s="15">
        <v>2.9138445E7</v>
      </c>
      <c r="T50" s="13" t="s">
        <v>47</v>
      </c>
      <c r="U50" s="13" t="s">
        <v>47</v>
      </c>
      <c r="V50" s="13" t="s">
        <v>38</v>
      </c>
      <c r="W50" s="13" t="s">
        <v>37</v>
      </c>
      <c r="X50" s="13" t="s">
        <v>37</v>
      </c>
      <c r="Y50" s="13" t="s">
        <v>69</v>
      </c>
      <c r="Z50" s="20" t="s">
        <v>37</v>
      </c>
      <c r="AA50" s="13" t="s">
        <v>40</v>
      </c>
      <c r="AB50" s="10">
        <f t="shared" si="4"/>
        <v>1</v>
      </c>
    </row>
    <row r="51" ht="25.5" customHeight="1">
      <c r="A51" s="8">
        <v>45631.369802615736</v>
      </c>
      <c r="B51" s="9">
        <v>50.0</v>
      </c>
      <c r="C51" s="10" t="str">
        <f t="shared" si="1"/>
        <v>GILMARA ANSELMO FERNANDES </v>
      </c>
      <c r="D51" s="9" t="s">
        <v>201</v>
      </c>
      <c r="E51" s="11">
        <v>28595.0</v>
      </c>
      <c r="F51" s="10">
        <f t="shared" si="2"/>
        <v>47</v>
      </c>
      <c r="G51" s="10" t="str">
        <f t="shared" si="3"/>
        <v>abril</v>
      </c>
      <c r="H51" s="12">
        <v>2.7981466347E10</v>
      </c>
      <c r="I51" s="13" t="s">
        <v>42</v>
      </c>
      <c r="J51" s="10"/>
      <c r="K51" s="19"/>
      <c r="L51" s="10"/>
      <c r="M51" s="10"/>
      <c r="N51" s="9" t="s">
        <v>169</v>
      </c>
      <c r="O51" s="9">
        <v>37.0</v>
      </c>
      <c r="P51" s="9" t="s">
        <v>170</v>
      </c>
      <c r="Q51" s="9" t="s">
        <v>35</v>
      </c>
      <c r="R51" s="9" t="s">
        <v>36</v>
      </c>
      <c r="S51" s="35"/>
      <c r="T51" s="13" t="s">
        <v>47</v>
      </c>
      <c r="U51" s="13" t="s">
        <v>47</v>
      </c>
      <c r="V51" s="13" t="s">
        <v>38</v>
      </c>
      <c r="W51" s="13" t="s">
        <v>37</v>
      </c>
      <c r="X51" s="13" t="s">
        <v>37</v>
      </c>
      <c r="Y51" s="13" t="s">
        <v>51</v>
      </c>
      <c r="Z51" s="20" t="s">
        <v>37</v>
      </c>
      <c r="AA51" s="13" t="s">
        <v>40</v>
      </c>
      <c r="AB51" s="10">
        <f t="shared" si="4"/>
        <v>4</v>
      </c>
    </row>
    <row r="52" ht="25.5" customHeight="1">
      <c r="A52" s="8">
        <v>45618.88570775463</v>
      </c>
      <c r="B52" s="9">
        <v>51.0</v>
      </c>
      <c r="C52" s="10" t="str">
        <f t="shared" si="1"/>
        <v>GLÊNIO ABADIS DOS SANTOS </v>
      </c>
      <c r="D52" s="9" t="s">
        <v>202</v>
      </c>
      <c r="E52" s="11">
        <v>29565.0</v>
      </c>
      <c r="F52" s="10">
        <f t="shared" si="2"/>
        <v>44</v>
      </c>
      <c r="G52" s="10" t="str">
        <f t="shared" si="3"/>
        <v>dezembro</v>
      </c>
      <c r="H52" s="12">
        <v>2.7997826522E10</v>
      </c>
      <c r="I52" s="13" t="s">
        <v>29</v>
      </c>
      <c r="J52" s="10"/>
      <c r="K52" s="13" t="s">
        <v>49</v>
      </c>
      <c r="L52" s="9" t="s">
        <v>31</v>
      </c>
      <c r="M52" s="10"/>
      <c r="N52" s="9" t="s">
        <v>32</v>
      </c>
      <c r="O52" s="14" t="s">
        <v>33</v>
      </c>
      <c r="P52" s="9" t="s">
        <v>34</v>
      </c>
      <c r="Q52" s="9" t="s">
        <v>35</v>
      </c>
      <c r="R52" s="9" t="s">
        <v>36</v>
      </c>
      <c r="S52" s="15">
        <v>2.9144306E7</v>
      </c>
      <c r="T52" s="13" t="s">
        <v>47</v>
      </c>
      <c r="U52" s="13" t="s">
        <v>47</v>
      </c>
      <c r="V52" s="13" t="s">
        <v>38</v>
      </c>
      <c r="W52" s="13" t="s">
        <v>37</v>
      </c>
      <c r="X52" s="13" t="s">
        <v>47</v>
      </c>
      <c r="Y52" s="13" t="s">
        <v>51</v>
      </c>
      <c r="Z52" s="20" t="s">
        <v>37</v>
      </c>
      <c r="AA52" s="13" t="s">
        <v>40</v>
      </c>
      <c r="AB52" s="10">
        <f t="shared" si="4"/>
        <v>12</v>
      </c>
    </row>
    <row r="53" ht="25.5" customHeight="1">
      <c r="A53" s="8">
        <v>45614.49331089121</v>
      </c>
      <c r="B53" s="9">
        <v>52.0</v>
      </c>
      <c r="C53" s="9" t="str">
        <f t="shared" si="1"/>
        <v>GREZIELI ROCHA MOUSINHO </v>
      </c>
      <c r="D53" s="9" t="s">
        <v>203</v>
      </c>
      <c r="E53" s="11">
        <v>36413.0</v>
      </c>
      <c r="F53" s="21">
        <f t="shared" si="2"/>
        <v>26</v>
      </c>
      <c r="G53" s="17" t="str">
        <f t="shared" si="3"/>
        <v>setembro</v>
      </c>
      <c r="H53" s="12">
        <v>2.799642297E10</v>
      </c>
      <c r="I53" s="13" t="s">
        <v>42</v>
      </c>
      <c r="J53" s="9"/>
      <c r="K53" s="13" t="s">
        <v>49</v>
      </c>
      <c r="L53" s="9" t="s">
        <v>204</v>
      </c>
      <c r="M53" s="10"/>
      <c r="N53" s="9" t="s">
        <v>205</v>
      </c>
      <c r="O53" s="9">
        <v>18.0</v>
      </c>
      <c r="P53" s="9" t="s">
        <v>98</v>
      </c>
      <c r="Q53" s="9" t="s">
        <v>35</v>
      </c>
      <c r="R53" s="9" t="s">
        <v>36</v>
      </c>
      <c r="S53" s="15">
        <v>2.9146605E7</v>
      </c>
      <c r="T53" s="13" t="s">
        <v>47</v>
      </c>
      <c r="U53" s="13" t="s">
        <v>47</v>
      </c>
      <c r="V53" s="13" t="s">
        <v>38</v>
      </c>
      <c r="W53" s="13" t="s">
        <v>47</v>
      </c>
      <c r="X53" s="13" t="s">
        <v>47</v>
      </c>
      <c r="Y53" s="13" t="s">
        <v>69</v>
      </c>
      <c r="Z53" s="20" t="s">
        <v>37</v>
      </c>
      <c r="AA53" s="13" t="s">
        <v>40</v>
      </c>
      <c r="AB53" s="18">
        <f t="shared" si="4"/>
        <v>9</v>
      </c>
    </row>
    <row r="54" ht="25.5" customHeight="1">
      <c r="A54" s="8">
        <v>45617.876602442135</v>
      </c>
      <c r="B54" s="9">
        <v>53.0</v>
      </c>
      <c r="C54" s="10" t="str">
        <f t="shared" si="1"/>
        <v>GUILHERME DA SILVA ALVES </v>
      </c>
      <c r="D54" s="9" t="s">
        <v>206</v>
      </c>
      <c r="E54" s="11">
        <v>42564.0</v>
      </c>
      <c r="F54" s="16">
        <f t="shared" si="2"/>
        <v>9</v>
      </c>
      <c r="G54" s="10" t="str">
        <f t="shared" si="3"/>
        <v>julho</v>
      </c>
      <c r="H54" s="12">
        <v>2.7996547612E10</v>
      </c>
      <c r="I54" s="13" t="s">
        <v>29</v>
      </c>
      <c r="J54" s="10"/>
      <c r="K54" s="13" t="s">
        <v>30</v>
      </c>
      <c r="L54" s="10"/>
      <c r="M54" s="9" t="s">
        <v>207</v>
      </c>
      <c r="N54" s="9" t="s">
        <v>208</v>
      </c>
      <c r="O54" s="9">
        <v>466.0</v>
      </c>
      <c r="P54" s="9" t="s">
        <v>84</v>
      </c>
      <c r="Q54" s="9" t="s">
        <v>35</v>
      </c>
      <c r="R54" s="9" t="s">
        <v>36</v>
      </c>
      <c r="S54" s="15">
        <v>2.914406E7</v>
      </c>
      <c r="T54" s="13" t="s">
        <v>37</v>
      </c>
      <c r="U54" s="13" t="s">
        <v>37</v>
      </c>
      <c r="V54" s="13" t="s">
        <v>38</v>
      </c>
      <c r="W54" s="13" t="s">
        <v>37</v>
      </c>
      <c r="X54" s="13" t="s">
        <v>37</v>
      </c>
      <c r="Y54" s="13" t="s">
        <v>85</v>
      </c>
      <c r="Z54" s="20" t="s">
        <v>37</v>
      </c>
      <c r="AA54" s="13" t="s">
        <v>40</v>
      </c>
      <c r="AB54" s="10">
        <f t="shared" si="4"/>
        <v>7</v>
      </c>
    </row>
    <row r="55" ht="25.5" customHeight="1">
      <c r="A55" s="22">
        <v>45613.5561953588</v>
      </c>
      <c r="B55" s="9">
        <v>54.0</v>
      </c>
      <c r="C55" s="23" t="str">
        <f t="shared" si="1"/>
        <v>GUILHERME DOS PASSOS SIQUEIRA VIANA </v>
      </c>
      <c r="D55" s="23" t="s">
        <v>115</v>
      </c>
      <c r="E55" s="24">
        <v>36683.0</v>
      </c>
      <c r="F55" s="21">
        <f t="shared" si="2"/>
        <v>25</v>
      </c>
      <c r="G55" s="25" t="str">
        <f t="shared" si="3"/>
        <v>junho</v>
      </c>
      <c r="H55" s="26">
        <v>2.7988563571E10</v>
      </c>
      <c r="I55" s="20" t="s">
        <v>29</v>
      </c>
      <c r="J55" s="23"/>
      <c r="K55" s="20" t="s">
        <v>49</v>
      </c>
      <c r="L55" s="23" t="s">
        <v>209</v>
      </c>
      <c r="M55" s="28"/>
      <c r="N55" s="23" t="s">
        <v>79</v>
      </c>
      <c r="O55" s="23">
        <v>34.0</v>
      </c>
      <c r="P55" s="9" t="s">
        <v>98</v>
      </c>
      <c r="Q55" s="23" t="s">
        <v>35</v>
      </c>
      <c r="R55" s="23" t="s">
        <v>36</v>
      </c>
      <c r="S55" s="27">
        <v>2914677.0</v>
      </c>
      <c r="T55" s="20" t="s">
        <v>47</v>
      </c>
      <c r="U55" s="13" t="s">
        <v>47</v>
      </c>
      <c r="V55" s="20" t="s">
        <v>38</v>
      </c>
      <c r="W55" s="20" t="s">
        <v>37</v>
      </c>
      <c r="X55" s="13" t="s">
        <v>37</v>
      </c>
      <c r="Y55" s="13" t="s">
        <v>69</v>
      </c>
      <c r="Z55" s="20" t="s">
        <v>37</v>
      </c>
      <c r="AA55" s="13" t="s">
        <v>40</v>
      </c>
      <c r="AB55" s="18">
        <f t="shared" si="4"/>
        <v>6</v>
      </c>
    </row>
    <row r="56" ht="25.5" customHeight="1">
      <c r="A56" s="8">
        <v>45617.927177233796</v>
      </c>
      <c r="B56" s="9">
        <v>55.0</v>
      </c>
      <c r="C56" s="10" t="str">
        <f t="shared" si="1"/>
        <v>HEITOR FERNANDES DA CRUZ </v>
      </c>
      <c r="D56" s="9" t="s">
        <v>210</v>
      </c>
      <c r="E56" s="11">
        <v>39373.0</v>
      </c>
      <c r="F56" s="16">
        <f t="shared" si="2"/>
        <v>18</v>
      </c>
      <c r="G56" s="10" t="str">
        <f t="shared" si="3"/>
        <v>outubro</v>
      </c>
      <c r="H56" s="12">
        <v>2.7992516839E10</v>
      </c>
      <c r="I56" s="13" t="s">
        <v>29</v>
      </c>
      <c r="J56" s="9" t="s">
        <v>211</v>
      </c>
      <c r="K56" s="13" t="s">
        <v>30</v>
      </c>
      <c r="L56" s="10"/>
      <c r="M56" s="9" t="s">
        <v>212</v>
      </c>
      <c r="N56" s="9" t="s">
        <v>213</v>
      </c>
      <c r="O56" s="9">
        <v>83.0</v>
      </c>
      <c r="P56" s="9" t="s">
        <v>98</v>
      </c>
      <c r="Q56" s="9" t="s">
        <v>35</v>
      </c>
      <c r="R56" s="9" t="s">
        <v>36</v>
      </c>
      <c r="S56" s="15" t="s">
        <v>214</v>
      </c>
      <c r="T56" s="13" t="s">
        <v>47</v>
      </c>
      <c r="U56" s="13" t="s">
        <v>37</v>
      </c>
      <c r="V56" s="13" t="s">
        <v>160</v>
      </c>
      <c r="W56" s="13" t="s">
        <v>37</v>
      </c>
      <c r="X56" s="13" t="s">
        <v>37</v>
      </c>
      <c r="Y56" s="13" t="s">
        <v>48</v>
      </c>
      <c r="Z56" s="13" t="s">
        <v>37</v>
      </c>
      <c r="AA56" s="13" t="s">
        <v>40</v>
      </c>
      <c r="AB56" s="10">
        <f t="shared" si="4"/>
        <v>10</v>
      </c>
    </row>
    <row r="57" ht="25.5" customHeight="1">
      <c r="A57" s="8">
        <v>45617.44173457176</v>
      </c>
      <c r="B57" s="9">
        <v>56.0</v>
      </c>
      <c r="C57" s="9" t="str">
        <f t="shared" si="1"/>
        <v>HILDA FERREIRA DE OLIVEIRA </v>
      </c>
      <c r="D57" s="9" t="s">
        <v>215</v>
      </c>
      <c r="E57" s="11">
        <v>13610.0</v>
      </c>
      <c r="F57" s="16">
        <f t="shared" si="2"/>
        <v>88</v>
      </c>
      <c r="G57" s="10" t="str">
        <f t="shared" si="3"/>
        <v>abril</v>
      </c>
      <c r="H57" s="12">
        <v>2.799999445E10</v>
      </c>
      <c r="I57" s="13" t="s">
        <v>42</v>
      </c>
      <c r="J57" s="9" t="s">
        <v>216</v>
      </c>
      <c r="K57" s="13" t="s">
        <v>30</v>
      </c>
      <c r="L57" s="10"/>
      <c r="M57" s="10"/>
      <c r="N57" s="9" t="s">
        <v>59</v>
      </c>
      <c r="O57" s="9">
        <v>216.0</v>
      </c>
      <c r="P57" s="9" t="s">
        <v>60</v>
      </c>
      <c r="Q57" s="9" t="s">
        <v>35</v>
      </c>
      <c r="R57" s="9" t="s">
        <v>36</v>
      </c>
      <c r="S57" s="15" t="s">
        <v>188</v>
      </c>
      <c r="T57" s="13" t="s">
        <v>47</v>
      </c>
      <c r="U57" s="13" t="s">
        <v>47</v>
      </c>
      <c r="V57" s="13" t="s">
        <v>38</v>
      </c>
      <c r="W57" s="13" t="s">
        <v>37</v>
      </c>
      <c r="X57" s="13" t="s">
        <v>37</v>
      </c>
      <c r="Y57" s="13" t="s">
        <v>65</v>
      </c>
      <c r="Z57" s="20" t="s">
        <v>37</v>
      </c>
      <c r="AA57" s="13" t="s">
        <v>40</v>
      </c>
      <c r="AB57" s="10">
        <f t="shared" si="4"/>
        <v>4</v>
      </c>
    </row>
    <row r="58" ht="25.5" customHeight="1">
      <c r="A58" s="8">
        <v>45619.5843094213</v>
      </c>
      <c r="B58" s="9">
        <v>57.0</v>
      </c>
      <c r="C58" s="10" t="str">
        <f t="shared" si="1"/>
        <v>JAIR ALVES PEREIRA </v>
      </c>
      <c r="D58" s="9" t="s">
        <v>217</v>
      </c>
      <c r="E58" s="11">
        <v>18151.0</v>
      </c>
      <c r="F58" s="10">
        <f t="shared" si="2"/>
        <v>76</v>
      </c>
      <c r="G58" s="10" t="str">
        <f t="shared" si="3"/>
        <v>setembro</v>
      </c>
      <c r="H58" s="12">
        <v>2.7998094438E10</v>
      </c>
      <c r="I58" s="13" t="s">
        <v>29</v>
      </c>
      <c r="J58" s="10"/>
      <c r="K58" s="13" t="s">
        <v>49</v>
      </c>
      <c r="L58" s="9" t="s">
        <v>156</v>
      </c>
      <c r="M58" s="10"/>
      <c r="N58" s="9" t="s">
        <v>218</v>
      </c>
      <c r="O58" s="9">
        <v>68.0</v>
      </c>
      <c r="P58" s="9" t="s">
        <v>219</v>
      </c>
      <c r="Q58" s="9" t="s">
        <v>35</v>
      </c>
      <c r="R58" s="9" t="s">
        <v>36</v>
      </c>
      <c r="S58" s="15">
        <v>2.914579E7</v>
      </c>
      <c r="T58" s="13" t="s">
        <v>47</v>
      </c>
      <c r="U58" s="13" t="s">
        <v>37</v>
      </c>
      <c r="V58" s="13" t="s">
        <v>160</v>
      </c>
      <c r="W58" s="13" t="s">
        <v>37</v>
      </c>
      <c r="X58" s="13" t="s">
        <v>37</v>
      </c>
      <c r="Y58" s="13" t="s">
        <v>65</v>
      </c>
      <c r="Z58" s="20" t="s">
        <v>37</v>
      </c>
      <c r="AA58" s="13" t="s">
        <v>40</v>
      </c>
      <c r="AB58" s="10">
        <f t="shared" si="4"/>
        <v>9</v>
      </c>
    </row>
    <row r="59" ht="25.5" customHeight="1">
      <c r="A59" s="8">
        <v>45617.347074756944</v>
      </c>
      <c r="B59" s="9">
        <v>58.0</v>
      </c>
      <c r="C59" s="9" t="str">
        <f t="shared" si="1"/>
        <v>JEAN CARLOS BERGAMINI </v>
      </c>
      <c r="D59" s="9" t="s">
        <v>220</v>
      </c>
      <c r="E59" s="11">
        <v>27303.0</v>
      </c>
      <c r="F59" s="16">
        <f t="shared" si="2"/>
        <v>51</v>
      </c>
      <c r="G59" s="10" t="str">
        <f t="shared" si="3"/>
        <v>outubro</v>
      </c>
      <c r="H59" s="12">
        <v>2.7999036505E10</v>
      </c>
      <c r="I59" s="13" t="s">
        <v>29</v>
      </c>
      <c r="J59" s="9"/>
      <c r="K59" s="13" t="s">
        <v>49</v>
      </c>
      <c r="L59" s="9" t="s">
        <v>221</v>
      </c>
      <c r="M59" s="10"/>
      <c r="N59" s="9" t="s">
        <v>222</v>
      </c>
      <c r="O59" s="9">
        <v>38.0</v>
      </c>
      <c r="P59" s="9" t="s">
        <v>179</v>
      </c>
      <c r="Q59" s="9" t="s">
        <v>35</v>
      </c>
      <c r="R59" s="9" t="s">
        <v>36</v>
      </c>
      <c r="S59" s="15">
        <v>2.914684E7</v>
      </c>
      <c r="T59" s="13" t="s">
        <v>47</v>
      </c>
      <c r="U59" s="13" t="s">
        <v>47</v>
      </c>
      <c r="V59" s="13" t="s">
        <v>38</v>
      </c>
      <c r="W59" s="13" t="s">
        <v>37</v>
      </c>
      <c r="X59" s="13" t="s">
        <v>37</v>
      </c>
      <c r="Y59" s="13" t="s">
        <v>51</v>
      </c>
      <c r="Z59" s="20" t="s">
        <v>37</v>
      </c>
      <c r="AA59" s="13" t="s">
        <v>40</v>
      </c>
      <c r="AB59" s="28">
        <f t="shared" si="4"/>
        <v>10</v>
      </c>
    </row>
    <row r="60" ht="25.5" customHeight="1">
      <c r="A60" s="8">
        <v>45614.75368252315</v>
      </c>
      <c r="B60" s="9">
        <v>59.0</v>
      </c>
      <c r="C60" s="9" t="str">
        <f t="shared" si="1"/>
        <v>JHONATAN DE SOUZA ANDRADE</v>
      </c>
      <c r="D60" s="9" t="s">
        <v>223</v>
      </c>
      <c r="E60" s="11">
        <v>34088.0</v>
      </c>
      <c r="F60" s="16">
        <f t="shared" si="2"/>
        <v>32</v>
      </c>
      <c r="G60" s="9" t="str">
        <f t="shared" si="3"/>
        <v>abril</v>
      </c>
      <c r="H60" s="12">
        <v>2.7999653596E10</v>
      </c>
      <c r="I60" s="13" t="s">
        <v>29</v>
      </c>
      <c r="J60" s="9"/>
      <c r="K60" s="13" t="s">
        <v>49</v>
      </c>
      <c r="L60" s="9" t="s">
        <v>224</v>
      </c>
      <c r="M60" s="10"/>
      <c r="N60" s="9" t="s">
        <v>205</v>
      </c>
      <c r="O60" s="9">
        <v>18.0</v>
      </c>
      <c r="P60" s="9" t="s">
        <v>98</v>
      </c>
      <c r="Q60" s="9" t="s">
        <v>35</v>
      </c>
      <c r="R60" s="9" t="s">
        <v>36</v>
      </c>
      <c r="S60" s="15">
        <v>2.9146605E7</v>
      </c>
      <c r="T60" s="13" t="s">
        <v>47</v>
      </c>
      <c r="U60" s="13" t="s">
        <v>47</v>
      </c>
      <c r="V60" s="13" t="s">
        <v>38</v>
      </c>
      <c r="W60" s="13" t="s">
        <v>37</v>
      </c>
      <c r="X60" s="13" t="s">
        <v>37</v>
      </c>
      <c r="Y60" s="13" t="s">
        <v>69</v>
      </c>
      <c r="Z60" s="20" t="s">
        <v>37</v>
      </c>
      <c r="AA60" s="13" t="s">
        <v>40</v>
      </c>
      <c r="AB60" s="18">
        <f t="shared" si="4"/>
        <v>4</v>
      </c>
    </row>
    <row r="61" ht="25.5" customHeight="1">
      <c r="A61" s="8">
        <v>45614.54267747686</v>
      </c>
      <c r="B61" s="9">
        <v>60.0</v>
      </c>
      <c r="C61" s="9" t="str">
        <f t="shared" si="1"/>
        <v>JILVANETE LIMA DOS SANTOS </v>
      </c>
      <c r="D61" s="9" t="s">
        <v>31</v>
      </c>
      <c r="E61" s="11">
        <v>31388.0</v>
      </c>
      <c r="F61" s="16">
        <f t="shared" si="2"/>
        <v>39</v>
      </c>
      <c r="G61" s="17" t="str">
        <f t="shared" si="3"/>
        <v>dezembro</v>
      </c>
      <c r="H61" s="12">
        <v>2.7995298253E10</v>
      </c>
      <c r="I61" s="13" t="s">
        <v>42</v>
      </c>
      <c r="J61" s="9"/>
      <c r="K61" s="13" t="s">
        <v>49</v>
      </c>
      <c r="L61" s="9" t="s">
        <v>202</v>
      </c>
      <c r="M61" s="10"/>
      <c r="N61" s="9" t="s">
        <v>225</v>
      </c>
      <c r="O61" s="14" t="s">
        <v>33</v>
      </c>
      <c r="P61" s="9" t="s">
        <v>226</v>
      </c>
      <c r="Q61" s="9" t="s">
        <v>35</v>
      </c>
      <c r="R61" s="9" t="s">
        <v>36</v>
      </c>
      <c r="S61" s="15">
        <v>2.9144306E7</v>
      </c>
      <c r="T61" s="13" t="s">
        <v>47</v>
      </c>
      <c r="U61" s="13" t="s">
        <v>47</v>
      </c>
      <c r="V61" s="13" t="s">
        <v>38</v>
      </c>
      <c r="W61" s="13" t="s">
        <v>37</v>
      </c>
      <c r="X61" s="13" t="s">
        <v>37</v>
      </c>
      <c r="Y61" s="13" t="s">
        <v>51</v>
      </c>
      <c r="Z61" s="20" t="s">
        <v>37</v>
      </c>
      <c r="AA61" s="13" t="s">
        <v>40</v>
      </c>
      <c r="AB61" s="18">
        <f t="shared" si="4"/>
        <v>12</v>
      </c>
    </row>
    <row r="62" ht="25.5" customHeight="1">
      <c r="A62" s="8">
        <v>45623.643798136574</v>
      </c>
      <c r="B62" s="9">
        <v>61.0</v>
      </c>
      <c r="C62" s="10" t="str">
        <f t="shared" si="1"/>
        <v>JOÃO PEDRO DE OLIVEIRA MOTA </v>
      </c>
      <c r="D62" s="9" t="s">
        <v>227</v>
      </c>
      <c r="E62" s="11">
        <v>41495.0</v>
      </c>
      <c r="F62" s="10">
        <f t="shared" si="2"/>
        <v>12</v>
      </c>
      <c r="G62" s="10" t="str">
        <f t="shared" si="3"/>
        <v>agosto</v>
      </c>
      <c r="H62" s="12">
        <v>2.799907324E10</v>
      </c>
      <c r="I62" s="13" t="s">
        <v>29</v>
      </c>
      <c r="J62" s="10"/>
      <c r="K62" s="13" t="s">
        <v>30</v>
      </c>
      <c r="L62" s="10"/>
      <c r="M62" s="9" t="s">
        <v>228</v>
      </c>
      <c r="N62" s="9" t="s">
        <v>229</v>
      </c>
      <c r="O62" s="9">
        <v>52.0</v>
      </c>
      <c r="P62" s="9" t="s">
        <v>230</v>
      </c>
      <c r="Q62" s="9" t="s">
        <v>76</v>
      </c>
      <c r="R62" s="9" t="s">
        <v>36</v>
      </c>
      <c r="S62" s="15">
        <v>2.9134513E7</v>
      </c>
      <c r="T62" s="13" t="s">
        <v>47</v>
      </c>
      <c r="U62" s="13" t="s">
        <v>47</v>
      </c>
      <c r="V62" s="13" t="s">
        <v>38</v>
      </c>
      <c r="W62" s="13" t="s">
        <v>37</v>
      </c>
      <c r="X62" s="13" t="s">
        <v>37</v>
      </c>
      <c r="Y62" s="13" t="s">
        <v>48</v>
      </c>
      <c r="Z62" s="20" t="s">
        <v>37</v>
      </c>
      <c r="AA62" s="13" t="s">
        <v>40</v>
      </c>
      <c r="AB62" s="10">
        <f t="shared" si="4"/>
        <v>8</v>
      </c>
    </row>
    <row r="63" ht="25.5" customHeight="1">
      <c r="A63" s="8">
        <v>45617.43956925926</v>
      </c>
      <c r="B63" s="9">
        <v>62.0</v>
      </c>
      <c r="C63" s="9" t="str">
        <f t="shared" si="1"/>
        <v>JOSCILEIA FERREIRA DE OLIVEIRA </v>
      </c>
      <c r="D63" s="9" t="s">
        <v>231</v>
      </c>
      <c r="E63" s="11">
        <v>27999.0</v>
      </c>
      <c r="F63" s="16">
        <f t="shared" si="2"/>
        <v>49</v>
      </c>
      <c r="G63" s="10" t="str">
        <f t="shared" si="3"/>
        <v>agosto</v>
      </c>
      <c r="H63" s="12">
        <v>2.799999445E10</v>
      </c>
      <c r="I63" s="13" t="s">
        <v>42</v>
      </c>
      <c r="J63" s="9"/>
      <c r="K63" s="13" t="s">
        <v>49</v>
      </c>
      <c r="L63" s="9" t="s">
        <v>186</v>
      </c>
      <c r="M63" s="10"/>
      <c r="N63" s="9" t="s">
        <v>59</v>
      </c>
      <c r="O63" s="9">
        <v>206.0</v>
      </c>
      <c r="P63" s="9" t="s">
        <v>232</v>
      </c>
      <c r="Q63" s="9" t="s">
        <v>35</v>
      </c>
      <c r="R63" s="9" t="s">
        <v>36</v>
      </c>
      <c r="S63" s="15" t="s">
        <v>188</v>
      </c>
      <c r="T63" s="13" t="s">
        <v>47</v>
      </c>
      <c r="U63" s="13" t="s">
        <v>47</v>
      </c>
      <c r="V63" s="13" t="s">
        <v>38</v>
      </c>
      <c r="W63" s="13" t="s">
        <v>37</v>
      </c>
      <c r="X63" s="13" t="s">
        <v>47</v>
      </c>
      <c r="Y63" s="13" t="s">
        <v>51</v>
      </c>
      <c r="Z63" s="20" t="s">
        <v>37</v>
      </c>
      <c r="AA63" s="13" t="s">
        <v>40</v>
      </c>
      <c r="AB63" s="10">
        <f t="shared" si="4"/>
        <v>8</v>
      </c>
    </row>
    <row r="64" ht="25.5" customHeight="1">
      <c r="A64" s="8">
        <v>45621.86603233796</v>
      </c>
      <c r="B64" s="9">
        <v>63.0</v>
      </c>
      <c r="C64" s="10" t="str">
        <f t="shared" si="1"/>
        <v>JOSEPH DAS NEVES AZEVEDO </v>
      </c>
      <c r="D64" s="9" t="s">
        <v>142</v>
      </c>
      <c r="E64" s="11">
        <v>31806.0</v>
      </c>
      <c r="F64" s="10">
        <f t="shared" si="2"/>
        <v>38</v>
      </c>
      <c r="G64" s="10" t="str">
        <f t="shared" si="3"/>
        <v>janeiro</v>
      </c>
      <c r="H64" s="12">
        <v>2.7998965321E10</v>
      </c>
      <c r="I64" s="13" t="s">
        <v>29</v>
      </c>
      <c r="J64" s="10"/>
      <c r="K64" s="13" t="s">
        <v>49</v>
      </c>
      <c r="L64" s="9" t="s">
        <v>233</v>
      </c>
      <c r="M64" s="10"/>
      <c r="N64" s="9" t="s">
        <v>234</v>
      </c>
      <c r="O64" s="9">
        <v>15.0</v>
      </c>
      <c r="P64" s="9" t="s">
        <v>144</v>
      </c>
      <c r="Q64" s="9" t="s">
        <v>76</v>
      </c>
      <c r="R64" s="9" t="s">
        <v>36</v>
      </c>
      <c r="S64" s="15">
        <v>2.913618E7</v>
      </c>
      <c r="T64" s="13" t="s">
        <v>47</v>
      </c>
      <c r="U64" s="13" t="s">
        <v>47</v>
      </c>
      <c r="V64" s="13" t="s">
        <v>38</v>
      </c>
      <c r="W64" s="13" t="s">
        <v>37</v>
      </c>
      <c r="X64" s="13" t="s">
        <v>37</v>
      </c>
      <c r="Y64" s="13" t="s">
        <v>51</v>
      </c>
      <c r="Z64" s="20" t="s">
        <v>37</v>
      </c>
      <c r="AA64" s="13" t="s">
        <v>40</v>
      </c>
      <c r="AB64" s="10">
        <f t="shared" si="4"/>
        <v>1</v>
      </c>
    </row>
    <row r="65" ht="25.5" customHeight="1">
      <c r="A65" s="8">
        <v>45614.72347510417</v>
      </c>
      <c r="B65" s="9">
        <v>64.0</v>
      </c>
      <c r="C65" s="9" t="str">
        <f t="shared" si="1"/>
        <v>JOSHUA ADAM CRUZ DE SOUSA </v>
      </c>
      <c r="D65" s="9" t="s">
        <v>235</v>
      </c>
      <c r="E65" s="11">
        <v>41368.0</v>
      </c>
      <c r="F65" s="16">
        <f t="shared" si="2"/>
        <v>12</v>
      </c>
      <c r="G65" s="9" t="str">
        <f t="shared" si="3"/>
        <v>abril</v>
      </c>
      <c r="H65" s="12">
        <v>2.7999879406E10</v>
      </c>
      <c r="I65" s="13" t="s">
        <v>29</v>
      </c>
      <c r="J65" s="10"/>
      <c r="K65" s="13" t="s">
        <v>30</v>
      </c>
      <c r="L65" s="10"/>
      <c r="M65" s="9" t="s">
        <v>131</v>
      </c>
      <c r="N65" s="9" t="s">
        <v>132</v>
      </c>
      <c r="O65" s="9">
        <v>39.0</v>
      </c>
      <c r="P65" s="9" t="s">
        <v>45</v>
      </c>
      <c r="Q65" s="9" t="s">
        <v>35</v>
      </c>
      <c r="R65" s="9" t="s">
        <v>36</v>
      </c>
      <c r="S65" s="15" t="s">
        <v>46</v>
      </c>
      <c r="T65" s="13" t="s">
        <v>47</v>
      </c>
      <c r="U65" s="13" t="s">
        <v>47</v>
      </c>
      <c r="V65" s="13" t="s">
        <v>38</v>
      </c>
      <c r="W65" s="13" t="s">
        <v>37</v>
      </c>
      <c r="X65" s="13" t="s">
        <v>37</v>
      </c>
      <c r="Y65" s="13" t="s">
        <v>48</v>
      </c>
      <c r="Z65" s="20" t="s">
        <v>37</v>
      </c>
      <c r="AA65" s="13" t="s">
        <v>40</v>
      </c>
      <c r="AB65" s="18">
        <f t="shared" si="4"/>
        <v>4</v>
      </c>
    </row>
    <row r="66" ht="25.5" customHeight="1">
      <c r="A66" s="8">
        <v>45914.92818663194</v>
      </c>
      <c r="B66" s="9">
        <v>65.0</v>
      </c>
      <c r="C66" s="10" t="str">
        <f t="shared" si="1"/>
        <v>JULIANO LOVATTI RAMOS</v>
      </c>
      <c r="D66" s="9" t="s">
        <v>236</v>
      </c>
      <c r="E66" s="11">
        <v>29075.0</v>
      </c>
      <c r="F66" s="10">
        <f t="shared" si="2"/>
        <v>46</v>
      </c>
      <c r="G66" s="10" t="str">
        <f t="shared" si="3"/>
        <v>agosto</v>
      </c>
      <c r="H66" s="9">
        <v>2.7988511191E10</v>
      </c>
      <c r="I66" s="13" t="s">
        <v>29</v>
      </c>
      <c r="J66" s="10"/>
      <c r="K66" s="13" t="s">
        <v>49</v>
      </c>
      <c r="L66" s="9" t="s">
        <v>237</v>
      </c>
      <c r="M66" s="9" t="s">
        <v>238</v>
      </c>
      <c r="N66" s="9" t="s">
        <v>239</v>
      </c>
      <c r="O66" s="9">
        <v>230.0</v>
      </c>
      <c r="P66" s="9" t="s">
        <v>240</v>
      </c>
      <c r="Q66" s="9" t="s">
        <v>35</v>
      </c>
      <c r="R66" s="9" t="s">
        <v>36</v>
      </c>
      <c r="S66" s="9">
        <v>2.9149771E7</v>
      </c>
      <c r="T66" s="13" t="s">
        <v>37</v>
      </c>
      <c r="U66" s="13" t="s">
        <v>37</v>
      </c>
      <c r="V66" s="13" t="s">
        <v>38</v>
      </c>
      <c r="W66" s="13" t="s">
        <v>37</v>
      </c>
      <c r="X66" s="13" t="s">
        <v>37</v>
      </c>
      <c r="Y66" s="13" t="s">
        <v>51</v>
      </c>
      <c r="Z66" s="13" t="s">
        <v>37</v>
      </c>
      <c r="AA66" s="13" t="s">
        <v>40</v>
      </c>
      <c r="AB66" s="10">
        <f t="shared" si="4"/>
        <v>8</v>
      </c>
    </row>
    <row r="67" ht="25.5" customHeight="1">
      <c r="A67" s="8">
        <v>45839.37555493056</v>
      </c>
      <c r="B67" s="9">
        <v>66.0</v>
      </c>
      <c r="C67" s="10" t="str">
        <f t="shared" si="1"/>
        <v>JÚLIO CÉSAR SPERANDIO GOUVEIA </v>
      </c>
      <c r="D67" s="9" t="s">
        <v>241</v>
      </c>
      <c r="E67" s="11">
        <v>28766.0</v>
      </c>
      <c r="F67" s="10">
        <f t="shared" si="2"/>
        <v>47</v>
      </c>
      <c r="G67" s="10" t="str">
        <f t="shared" si="3"/>
        <v>outubro</v>
      </c>
      <c r="H67" s="14" t="s">
        <v>242</v>
      </c>
      <c r="I67" s="13" t="s">
        <v>29</v>
      </c>
      <c r="J67" s="10"/>
      <c r="K67" s="13" t="s">
        <v>49</v>
      </c>
      <c r="L67" s="9" t="s">
        <v>243</v>
      </c>
      <c r="M67" s="10"/>
      <c r="N67" s="9" t="s">
        <v>101</v>
      </c>
      <c r="O67" s="9">
        <v>67.0</v>
      </c>
      <c r="P67" s="9" t="s">
        <v>244</v>
      </c>
      <c r="Q67" s="9" t="s">
        <v>35</v>
      </c>
      <c r="R67" s="9" t="s">
        <v>36</v>
      </c>
      <c r="S67" s="9">
        <v>2.914365E7</v>
      </c>
      <c r="T67" s="13" t="s">
        <v>47</v>
      </c>
      <c r="U67" s="13" t="s">
        <v>47</v>
      </c>
      <c r="V67" s="13" t="s">
        <v>38</v>
      </c>
      <c r="W67" s="13" t="s">
        <v>37</v>
      </c>
      <c r="X67" s="13" t="s">
        <v>37</v>
      </c>
      <c r="Y67" s="13" t="s">
        <v>51</v>
      </c>
      <c r="Z67" s="13" t="s">
        <v>37</v>
      </c>
      <c r="AA67" s="13" t="s">
        <v>40</v>
      </c>
      <c r="AB67" s="10">
        <f t="shared" si="4"/>
        <v>10</v>
      </c>
    </row>
    <row r="68" ht="25.5" customHeight="1">
      <c r="A68" s="8">
        <v>45621.78534333334</v>
      </c>
      <c r="B68" s="9">
        <v>67.0</v>
      </c>
      <c r="C68" s="10" t="str">
        <f t="shared" si="1"/>
        <v>KALEBE HENRIQUE SOUZA MATOS MOURA </v>
      </c>
      <c r="D68" s="9" t="s">
        <v>245</v>
      </c>
      <c r="E68" s="11">
        <v>42358.0</v>
      </c>
      <c r="F68" s="10">
        <f t="shared" si="2"/>
        <v>9</v>
      </c>
      <c r="G68" s="10" t="str">
        <f t="shared" si="3"/>
        <v>dezembro</v>
      </c>
      <c r="H68" s="12">
        <v>2.7997566031E10</v>
      </c>
      <c r="I68" s="13" t="s">
        <v>29</v>
      </c>
      <c r="J68" s="10"/>
      <c r="K68" s="13" t="s">
        <v>30</v>
      </c>
      <c r="L68" s="10"/>
      <c r="M68" s="9" t="s">
        <v>82</v>
      </c>
      <c r="N68" s="9" t="s">
        <v>117</v>
      </c>
      <c r="O68" s="9">
        <v>48.0</v>
      </c>
      <c r="P68" s="9" t="s">
        <v>84</v>
      </c>
      <c r="Q68" s="9" t="s">
        <v>35</v>
      </c>
      <c r="R68" s="9" t="s">
        <v>36</v>
      </c>
      <c r="S68" s="15">
        <v>2.914404E7</v>
      </c>
      <c r="T68" s="13" t="s">
        <v>47</v>
      </c>
      <c r="U68" s="13" t="s">
        <v>47</v>
      </c>
      <c r="V68" s="13" t="s">
        <v>38</v>
      </c>
      <c r="W68" s="13" t="s">
        <v>37</v>
      </c>
      <c r="X68" s="13" t="s">
        <v>37</v>
      </c>
      <c r="Y68" s="13" t="s">
        <v>85</v>
      </c>
      <c r="Z68" s="20" t="s">
        <v>37</v>
      </c>
      <c r="AA68" s="13" t="s">
        <v>40</v>
      </c>
      <c r="AB68" s="10">
        <f t="shared" si="4"/>
        <v>12</v>
      </c>
    </row>
    <row r="69" ht="25.5" customHeight="1">
      <c r="A69" s="8">
        <v>45617.43522642361</v>
      </c>
      <c r="B69" s="9">
        <v>68.0</v>
      </c>
      <c r="C69" s="9" t="str">
        <f t="shared" si="1"/>
        <v>KAROLINE MARIANELLI DE SOUZA </v>
      </c>
      <c r="D69" s="9" t="s">
        <v>246</v>
      </c>
      <c r="E69" s="11">
        <v>34921.0</v>
      </c>
      <c r="F69" s="16">
        <f t="shared" si="2"/>
        <v>30</v>
      </c>
      <c r="G69" s="10" t="str">
        <f t="shared" si="3"/>
        <v>agosto</v>
      </c>
      <c r="H69" s="12">
        <v>2.7998675533E10</v>
      </c>
      <c r="I69" s="13" t="s">
        <v>42</v>
      </c>
      <c r="J69" s="10"/>
      <c r="K69" s="13" t="s">
        <v>30</v>
      </c>
      <c r="L69" s="10"/>
      <c r="M69" s="10"/>
      <c r="N69" s="9" t="s">
        <v>247</v>
      </c>
      <c r="O69" s="9">
        <v>13.0</v>
      </c>
      <c r="P69" s="9" t="s">
        <v>170</v>
      </c>
      <c r="Q69" s="9" t="s">
        <v>35</v>
      </c>
      <c r="R69" s="9" t="s">
        <v>36</v>
      </c>
      <c r="S69" s="15" t="s">
        <v>248</v>
      </c>
      <c r="T69" s="13" t="s">
        <v>47</v>
      </c>
      <c r="U69" s="13" t="s">
        <v>37</v>
      </c>
      <c r="V69" s="13" t="s">
        <v>160</v>
      </c>
      <c r="W69" s="13" t="s">
        <v>37</v>
      </c>
      <c r="X69" s="13" t="s">
        <v>37</v>
      </c>
      <c r="Y69" s="13" t="s">
        <v>69</v>
      </c>
      <c r="Z69" s="20" t="s">
        <v>37</v>
      </c>
      <c r="AA69" s="13" t="s">
        <v>40</v>
      </c>
      <c r="AB69" s="10">
        <f t="shared" si="4"/>
        <v>8</v>
      </c>
    </row>
    <row r="70" ht="25.5" customHeight="1">
      <c r="A70" s="8">
        <v>45802.359819791665</v>
      </c>
      <c r="B70" s="9">
        <v>69.0</v>
      </c>
      <c r="C70" s="10" t="str">
        <f t="shared" si="1"/>
        <v>KESYA PEREIRA DE OLIVEIRA LIRA QUEIROZ </v>
      </c>
      <c r="D70" s="9" t="s">
        <v>249</v>
      </c>
      <c r="E70" s="11">
        <v>36133.0</v>
      </c>
      <c r="F70" s="10">
        <f t="shared" si="2"/>
        <v>26</v>
      </c>
      <c r="G70" s="10" t="str">
        <f t="shared" si="3"/>
        <v>dezembro</v>
      </c>
      <c r="H70" s="12">
        <v>2.7988790012E10</v>
      </c>
      <c r="I70" s="13" t="s">
        <v>42</v>
      </c>
      <c r="J70" s="10"/>
      <c r="K70" s="19"/>
      <c r="L70" s="9" t="s">
        <v>250</v>
      </c>
      <c r="M70" s="9" t="s">
        <v>251</v>
      </c>
      <c r="N70" s="9" t="s">
        <v>252</v>
      </c>
      <c r="O70" s="9">
        <v>182.0</v>
      </c>
      <c r="P70" s="9" t="s">
        <v>253</v>
      </c>
      <c r="Q70" s="9" t="s">
        <v>35</v>
      </c>
      <c r="R70" s="9" t="s">
        <v>36</v>
      </c>
      <c r="S70" s="9">
        <v>2.9152395E7</v>
      </c>
      <c r="T70" s="13" t="s">
        <v>47</v>
      </c>
      <c r="U70" s="13" t="s">
        <v>47</v>
      </c>
      <c r="V70" s="13" t="s">
        <v>38</v>
      </c>
      <c r="W70" s="13" t="s">
        <v>37</v>
      </c>
      <c r="X70" s="13" t="s">
        <v>37</v>
      </c>
      <c r="Y70" s="13" t="s">
        <v>69</v>
      </c>
      <c r="Z70" s="13" t="s">
        <v>37</v>
      </c>
      <c r="AA70" s="13" t="s">
        <v>40</v>
      </c>
      <c r="AB70" s="10">
        <f t="shared" si="4"/>
        <v>12</v>
      </c>
    </row>
    <row r="71" ht="25.5" customHeight="1">
      <c r="A71" s="8">
        <v>45614.71658284722</v>
      </c>
      <c r="B71" s="9">
        <v>70.0</v>
      </c>
      <c r="C71" s="9" t="str">
        <f t="shared" si="1"/>
        <v>LAIS MARIA PEREIRA DA CRUZ </v>
      </c>
      <c r="D71" s="9" t="s">
        <v>254</v>
      </c>
      <c r="E71" s="11">
        <v>40177.0</v>
      </c>
      <c r="F71" s="16">
        <f t="shared" si="2"/>
        <v>15</v>
      </c>
      <c r="G71" s="17" t="str">
        <f t="shared" si="3"/>
        <v>dezembro</v>
      </c>
      <c r="H71" s="12">
        <v>2.7996569535E10</v>
      </c>
      <c r="I71" s="13" t="s">
        <v>42</v>
      </c>
      <c r="J71" s="10"/>
      <c r="K71" s="13" t="s">
        <v>30</v>
      </c>
      <c r="L71" s="10"/>
      <c r="M71" s="9" t="s">
        <v>255</v>
      </c>
      <c r="N71" s="9" t="s">
        <v>256</v>
      </c>
      <c r="O71" s="9">
        <v>109.0</v>
      </c>
      <c r="P71" s="9" t="s">
        <v>244</v>
      </c>
      <c r="Q71" s="9" t="s">
        <v>35</v>
      </c>
      <c r="R71" s="9" t="s">
        <v>36</v>
      </c>
      <c r="S71" s="15">
        <v>2.9143732E7</v>
      </c>
      <c r="T71" s="13" t="s">
        <v>47</v>
      </c>
      <c r="U71" s="13" t="s">
        <v>47</v>
      </c>
      <c r="V71" s="13" t="s">
        <v>38</v>
      </c>
      <c r="W71" s="13" t="s">
        <v>37</v>
      </c>
      <c r="X71" s="13" t="s">
        <v>37</v>
      </c>
      <c r="Y71" s="13" t="s">
        <v>48</v>
      </c>
      <c r="Z71" s="20" t="s">
        <v>37</v>
      </c>
      <c r="AA71" s="13" t="s">
        <v>40</v>
      </c>
      <c r="AB71" s="18">
        <f t="shared" si="4"/>
        <v>12</v>
      </c>
    </row>
    <row r="72" ht="25.5" customHeight="1">
      <c r="A72" s="8">
        <v>45614.52901002315</v>
      </c>
      <c r="B72" s="9">
        <v>71.0</v>
      </c>
      <c r="C72" s="9" t="str">
        <f t="shared" si="1"/>
        <v>LAÍS MARTINS MONTEIRO LOPES</v>
      </c>
      <c r="D72" s="9" t="s">
        <v>257</v>
      </c>
      <c r="E72" s="11">
        <v>33969.0</v>
      </c>
      <c r="F72" s="16">
        <f t="shared" si="2"/>
        <v>32</v>
      </c>
      <c r="G72" s="17" t="str">
        <f t="shared" si="3"/>
        <v>dezembro</v>
      </c>
      <c r="H72" s="12">
        <v>2.7998626144E10</v>
      </c>
      <c r="I72" s="13" t="s">
        <v>42</v>
      </c>
      <c r="J72" s="9"/>
      <c r="K72" s="13" t="s">
        <v>49</v>
      </c>
      <c r="L72" s="9" t="s">
        <v>258</v>
      </c>
      <c r="M72" s="10"/>
      <c r="N72" s="9" t="s">
        <v>148</v>
      </c>
      <c r="O72" s="9">
        <v>509.0</v>
      </c>
      <c r="P72" s="9" t="s">
        <v>149</v>
      </c>
      <c r="Q72" s="9" t="s">
        <v>35</v>
      </c>
      <c r="R72" s="9" t="s">
        <v>36</v>
      </c>
      <c r="S72" s="15">
        <v>2.9145334E7</v>
      </c>
      <c r="T72" s="13" t="s">
        <v>47</v>
      </c>
      <c r="U72" s="13" t="s">
        <v>47</v>
      </c>
      <c r="V72" s="13" t="s">
        <v>38</v>
      </c>
      <c r="W72" s="13" t="s">
        <v>47</v>
      </c>
      <c r="X72" s="13" t="s">
        <v>47</v>
      </c>
      <c r="Y72" s="13" t="s">
        <v>69</v>
      </c>
      <c r="Z72" s="20" t="s">
        <v>37</v>
      </c>
      <c r="AA72" s="13" t="s">
        <v>40</v>
      </c>
      <c r="AB72" s="18">
        <f t="shared" si="4"/>
        <v>12</v>
      </c>
    </row>
    <row r="73" ht="25.5" customHeight="1">
      <c r="A73" s="8">
        <v>45617.565857361114</v>
      </c>
      <c r="B73" s="9">
        <v>72.0</v>
      </c>
      <c r="C73" s="9" t="str">
        <f t="shared" si="1"/>
        <v>LARA PEREIRA LIMA</v>
      </c>
      <c r="D73" s="9" t="s">
        <v>259</v>
      </c>
      <c r="E73" s="11">
        <v>43356.0</v>
      </c>
      <c r="F73" s="16">
        <f t="shared" si="2"/>
        <v>7</v>
      </c>
      <c r="G73" s="10" t="str">
        <f t="shared" si="3"/>
        <v>setembro</v>
      </c>
      <c r="H73" s="12">
        <v>2.7995239761E10</v>
      </c>
      <c r="I73" s="13" t="s">
        <v>42</v>
      </c>
      <c r="J73" s="10"/>
      <c r="K73" s="13" t="s">
        <v>30</v>
      </c>
      <c r="L73" s="10"/>
      <c r="M73" s="9" t="s">
        <v>260</v>
      </c>
      <c r="N73" s="9" t="s">
        <v>261</v>
      </c>
      <c r="O73" s="9">
        <v>42.0</v>
      </c>
      <c r="P73" s="9" t="s">
        <v>90</v>
      </c>
      <c r="Q73" s="9" t="s">
        <v>35</v>
      </c>
      <c r="R73" s="9" t="s">
        <v>36</v>
      </c>
      <c r="S73" s="15">
        <v>2.9144766E7</v>
      </c>
      <c r="T73" s="13" t="s">
        <v>37</v>
      </c>
      <c r="U73" s="13" t="s">
        <v>37</v>
      </c>
      <c r="V73" s="13" t="s">
        <v>38</v>
      </c>
      <c r="W73" s="13" t="s">
        <v>37</v>
      </c>
      <c r="X73" s="13" t="s">
        <v>37</v>
      </c>
      <c r="Y73" s="13" t="s">
        <v>39</v>
      </c>
      <c r="Z73" s="20" t="s">
        <v>37</v>
      </c>
      <c r="AA73" s="13" t="s">
        <v>40</v>
      </c>
      <c r="AB73" s="10">
        <f t="shared" si="4"/>
        <v>9</v>
      </c>
    </row>
    <row r="74" ht="25.5" customHeight="1">
      <c r="A74" s="8">
        <v>45839.414956469904</v>
      </c>
      <c r="B74" s="9">
        <v>73.0</v>
      </c>
      <c r="C74" s="10" t="str">
        <f t="shared" si="1"/>
        <v>LARISSA FERREIRA DE MORAIS PAULINO</v>
      </c>
      <c r="D74" s="9" t="s">
        <v>262</v>
      </c>
      <c r="E74" s="11">
        <v>32286.0</v>
      </c>
      <c r="F74" s="10">
        <f t="shared" si="2"/>
        <v>37</v>
      </c>
      <c r="G74" s="10" t="str">
        <f t="shared" si="3"/>
        <v>maio</v>
      </c>
      <c r="H74" s="9">
        <v>2.7999197541E10</v>
      </c>
      <c r="I74" s="13" t="s">
        <v>42</v>
      </c>
      <c r="J74" s="10"/>
      <c r="K74" s="13" t="s">
        <v>49</v>
      </c>
      <c r="L74" s="9" t="s">
        <v>263</v>
      </c>
      <c r="M74" s="10"/>
      <c r="N74" s="9" t="s">
        <v>264</v>
      </c>
      <c r="O74" s="9">
        <v>237.0</v>
      </c>
      <c r="P74" s="9" t="s">
        <v>232</v>
      </c>
      <c r="Q74" s="9" t="s">
        <v>35</v>
      </c>
      <c r="R74" s="9" t="s">
        <v>36</v>
      </c>
      <c r="S74" s="9" t="s">
        <v>188</v>
      </c>
      <c r="T74" s="13" t="s">
        <v>47</v>
      </c>
      <c r="U74" s="13" t="s">
        <v>47</v>
      </c>
      <c r="V74" s="13" t="s">
        <v>38</v>
      </c>
      <c r="W74" s="13" t="s">
        <v>37</v>
      </c>
      <c r="X74" s="13" t="s">
        <v>37</v>
      </c>
      <c r="Y74" s="13" t="s">
        <v>51</v>
      </c>
      <c r="Z74" s="13" t="s">
        <v>37</v>
      </c>
      <c r="AA74" s="13" t="s">
        <v>40</v>
      </c>
      <c r="AB74" s="10">
        <f t="shared" si="4"/>
        <v>5</v>
      </c>
    </row>
    <row r="75" ht="25.5" customHeight="1">
      <c r="A75" s="8">
        <v>45615.37715512731</v>
      </c>
      <c r="B75" s="9">
        <v>74.0</v>
      </c>
      <c r="C75" s="9" t="str">
        <f t="shared" si="1"/>
        <v>LARISSA THEODORO DA SILVA </v>
      </c>
      <c r="D75" s="9" t="s">
        <v>265</v>
      </c>
      <c r="E75" s="11">
        <v>35698.0</v>
      </c>
      <c r="F75" s="16">
        <f t="shared" si="2"/>
        <v>28</v>
      </c>
      <c r="G75" s="10" t="str">
        <f t="shared" si="3"/>
        <v>setembro</v>
      </c>
      <c r="H75" s="12">
        <v>2.7996893711E10</v>
      </c>
      <c r="I75" s="13" t="s">
        <v>42</v>
      </c>
      <c r="J75" s="9"/>
      <c r="K75" s="13" t="s">
        <v>49</v>
      </c>
      <c r="L75" s="9" t="s">
        <v>266</v>
      </c>
      <c r="M75" s="10"/>
      <c r="N75" s="9" t="s">
        <v>267</v>
      </c>
      <c r="O75" s="9">
        <v>35.0</v>
      </c>
      <c r="P75" s="9" t="s">
        <v>268</v>
      </c>
      <c r="Q75" s="9" t="s">
        <v>35</v>
      </c>
      <c r="R75" s="9" t="s">
        <v>36</v>
      </c>
      <c r="S75" s="15">
        <v>2.9143666E7</v>
      </c>
      <c r="T75" s="13" t="s">
        <v>47</v>
      </c>
      <c r="U75" s="13" t="s">
        <v>47</v>
      </c>
      <c r="V75" s="13" t="s">
        <v>38</v>
      </c>
      <c r="W75" s="13" t="s">
        <v>47</v>
      </c>
      <c r="X75" s="13" t="s">
        <v>47</v>
      </c>
      <c r="Y75" s="13" t="s">
        <v>69</v>
      </c>
      <c r="Z75" s="20" t="s">
        <v>37</v>
      </c>
      <c r="AA75" s="13" t="s">
        <v>40</v>
      </c>
      <c r="AB75" s="18">
        <f t="shared" si="4"/>
        <v>9</v>
      </c>
    </row>
    <row r="76" ht="25.5" customHeight="1">
      <c r="A76" s="8">
        <v>45621.87083119213</v>
      </c>
      <c r="B76" s="9">
        <v>75.0</v>
      </c>
      <c r="C76" s="10" t="str">
        <f t="shared" si="1"/>
        <v>LAURA DE LIMA AZEVEDO</v>
      </c>
      <c r="D76" s="9" t="s">
        <v>269</v>
      </c>
      <c r="E76" s="11">
        <v>43693.0</v>
      </c>
      <c r="F76" s="10">
        <f t="shared" si="2"/>
        <v>6</v>
      </c>
      <c r="G76" s="10" t="str">
        <f t="shared" si="3"/>
        <v>agosto</v>
      </c>
      <c r="H76" s="12">
        <v>2.7998965321E10</v>
      </c>
      <c r="I76" s="13" t="s">
        <v>42</v>
      </c>
      <c r="J76" s="10"/>
      <c r="K76" s="13" t="s">
        <v>30</v>
      </c>
      <c r="L76" s="10"/>
      <c r="M76" s="9" t="s">
        <v>270</v>
      </c>
      <c r="N76" s="9" t="s">
        <v>271</v>
      </c>
      <c r="O76" s="9">
        <v>15.0</v>
      </c>
      <c r="P76" s="9" t="s">
        <v>144</v>
      </c>
      <c r="Q76" s="9" t="s">
        <v>76</v>
      </c>
      <c r="R76" s="9" t="s">
        <v>36</v>
      </c>
      <c r="S76" s="15">
        <v>2.913618E7</v>
      </c>
      <c r="T76" s="13" t="s">
        <v>37</v>
      </c>
      <c r="U76" s="13" t="s">
        <v>37</v>
      </c>
      <c r="V76" s="13" t="s">
        <v>38</v>
      </c>
      <c r="W76" s="13" t="s">
        <v>37</v>
      </c>
      <c r="X76" s="13" t="s">
        <v>37</v>
      </c>
      <c r="Y76" s="13" t="s">
        <v>39</v>
      </c>
      <c r="Z76" s="20" t="s">
        <v>37</v>
      </c>
      <c r="AA76" s="13" t="s">
        <v>40</v>
      </c>
      <c r="AB76" s="10">
        <f t="shared" si="4"/>
        <v>8</v>
      </c>
    </row>
    <row r="77" ht="25.5" customHeight="1">
      <c r="A77" s="8">
        <v>45863.44329982639</v>
      </c>
      <c r="B77" s="9">
        <v>76.0</v>
      </c>
      <c r="C77" s="10" t="str">
        <f t="shared" si="1"/>
        <v>LAURA ROLIM HERPET</v>
      </c>
      <c r="D77" s="9" t="s">
        <v>272</v>
      </c>
      <c r="E77" s="11">
        <v>43386.0</v>
      </c>
      <c r="F77" s="10">
        <f t="shared" si="2"/>
        <v>7</v>
      </c>
      <c r="G77" s="10" t="str">
        <f t="shared" si="3"/>
        <v>outubro</v>
      </c>
      <c r="H77" s="14" t="s">
        <v>273</v>
      </c>
      <c r="I77" s="13" t="s">
        <v>42</v>
      </c>
      <c r="J77" s="10"/>
      <c r="K77" s="19"/>
      <c r="L77" s="10"/>
      <c r="M77" s="9" t="s">
        <v>274</v>
      </c>
      <c r="N77" s="9" t="s">
        <v>275</v>
      </c>
      <c r="O77" s="9">
        <v>37.0</v>
      </c>
      <c r="P77" s="9" t="s">
        <v>80</v>
      </c>
      <c r="Q77" s="9" t="s">
        <v>35</v>
      </c>
      <c r="R77" s="9" t="s">
        <v>36</v>
      </c>
      <c r="S77" s="9">
        <v>2.9146653E7</v>
      </c>
      <c r="T77" s="13" t="s">
        <v>37</v>
      </c>
      <c r="U77" s="13" t="s">
        <v>37</v>
      </c>
      <c r="V77" s="13" t="s">
        <v>38</v>
      </c>
      <c r="W77" s="13" t="s">
        <v>37</v>
      </c>
      <c r="X77" s="13" t="s">
        <v>37</v>
      </c>
      <c r="Y77" s="13" t="s">
        <v>39</v>
      </c>
      <c r="Z77" s="13" t="s">
        <v>37</v>
      </c>
      <c r="AA77" s="13" t="s">
        <v>40</v>
      </c>
      <c r="AB77" s="10">
        <f t="shared" si="4"/>
        <v>10</v>
      </c>
    </row>
    <row r="78" ht="25.5" customHeight="1">
      <c r="A78" s="8">
        <v>45614.53096121528</v>
      </c>
      <c r="B78" s="9">
        <v>77.0</v>
      </c>
      <c r="C78" s="9" t="str">
        <f t="shared" si="1"/>
        <v>LAVÍNIA MONTEIRO LOPES</v>
      </c>
      <c r="D78" s="9" t="s">
        <v>276</v>
      </c>
      <c r="E78" s="11">
        <v>44383.0</v>
      </c>
      <c r="F78" s="16">
        <f t="shared" si="2"/>
        <v>4</v>
      </c>
      <c r="G78" s="17" t="str">
        <f t="shared" si="3"/>
        <v>julho</v>
      </c>
      <c r="H78" s="12">
        <v>2.7998626144E10</v>
      </c>
      <c r="I78" s="13" t="s">
        <v>42</v>
      </c>
      <c r="J78" s="10"/>
      <c r="K78" s="13" t="s">
        <v>30</v>
      </c>
      <c r="L78" s="10"/>
      <c r="M78" s="9" t="s">
        <v>277</v>
      </c>
      <c r="N78" s="9" t="s">
        <v>148</v>
      </c>
      <c r="O78" s="9">
        <v>509.0</v>
      </c>
      <c r="P78" s="9" t="s">
        <v>149</v>
      </c>
      <c r="Q78" s="9" t="s">
        <v>35</v>
      </c>
      <c r="R78" s="9" t="s">
        <v>36</v>
      </c>
      <c r="S78" s="15">
        <v>2.9145334E7</v>
      </c>
      <c r="T78" s="13" t="s">
        <v>37</v>
      </c>
      <c r="U78" s="13" t="s">
        <v>37</v>
      </c>
      <c r="V78" s="13" t="s">
        <v>38</v>
      </c>
      <c r="W78" s="13" t="s">
        <v>37</v>
      </c>
      <c r="X78" s="13" t="s">
        <v>37</v>
      </c>
      <c r="Y78" s="13" t="s">
        <v>39</v>
      </c>
      <c r="Z78" s="20" t="s">
        <v>37</v>
      </c>
      <c r="AA78" s="13" t="s">
        <v>40</v>
      </c>
      <c r="AB78" s="18">
        <f t="shared" si="4"/>
        <v>7</v>
      </c>
    </row>
    <row r="79" ht="25.5" customHeight="1">
      <c r="A79" s="8">
        <v>45839.37301909723</v>
      </c>
      <c r="B79" s="9">
        <v>78.0</v>
      </c>
      <c r="C79" s="10" t="str">
        <f t="shared" si="1"/>
        <v>LAYANE FERREIRA DE MORAIS </v>
      </c>
      <c r="D79" s="9" t="s">
        <v>243</v>
      </c>
      <c r="E79" s="11">
        <v>34285.0</v>
      </c>
      <c r="F79" s="10">
        <f t="shared" si="2"/>
        <v>31</v>
      </c>
      <c r="G79" s="10" t="str">
        <f t="shared" si="3"/>
        <v>novembro</v>
      </c>
      <c r="H79" s="9">
        <v>2.7997969899E10</v>
      </c>
      <c r="I79" s="13" t="s">
        <v>42</v>
      </c>
      <c r="J79" s="10"/>
      <c r="K79" s="13" t="s">
        <v>49</v>
      </c>
      <c r="L79" s="9" t="s">
        <v>241</v>
      </c>
      <c r="M79" s="10"/>
      <c r="N79" s="9" t="s">
        <v>101</v>
      </c>
      <c r="O79" s="9">
        <v>67.0</v>
      </c>
      <c r="P79" s="9" t="s">
        <v>244</v>
      </c>
      <c r="Q79" s="9" t="s">
        <v>35</v>
      </c>
      <c r="R79" s="9" t="s">
        <v>36</v>
      </c>
      <c r="S79" s="9">
        <v>2.914365E7</v>
      </c>
      <c r="T79" s="13" t="s">
        <v>47</v>
      </c>
      <c r="U79" s="13" t="s">
        <v>47</v>
      </c>
      <c r="V79" s="13" t="s">
        <v>38</v>
      </c>
      <c r="W79" s="13" t="s">
        <v>37</v>
      </c>
      <c r="X79" s="13" t="s">
        <v>37</v>
      </c>
      <c r="Y79" s="13" t="s">
        <v>69</v>
      </c>
      <c r="Z79" s="13" t="s">
        <v>37</v>
      </c>
      <c r="AA79" s="13" t="s">
        <v>40</v>
      </c>
      <c r="AB79" s="10">
        <f t="shared" si="4"/>
        <v>11</v>
      </c>
    </row>
    <row r="80" ht="25.5" customHeight="1">
      <c r="A80" s="8">
        <v>45616.806893553236</v>
      </c>
      <c r="B80" s="9">
        <v>79.0</v>
      </c>
      <c r="C80" s="9" t="str">
        <f t="shared" si="1"/>
        <v>LEONARDO ADAME FREIRE </v>
      </c>
      <c r="D80" s="9" t="s">
        <v>278</v>
      </c>
      <c r="E80" s="11">
        <v>30967.0</v>
      </c>
      <c r="F80" s="16">
        <f t="shared" si="2"/>
        <v>41</v>
      </c>
      <c r="G80" s="10" t="str">
        <f t="shared" si="3"/>
        <v>outubro</v>
      </c>
      <c r="H80" s="12">
        <v>2.799509488E10</v>
      </c>
      <c r="I80" s="13" t="s">
        <v>29</v>
      </c>
      <c r="J80" s="9"/>
      <c r="K80" s="13" t="s">
        <v>49</v>
      </c>
      <c r="L80" s="9" t="s">
        <v>279</v>
      </c>
      <c r="M80" s="10"/>
      <c r="N80" s="9" t="s">
        <v>280</v>
      </c>
      <c r="O80" s="9" t="s">
        <v>281</v>
      </c>
      <c r="P80" s="9" t="s">
        <v>282</v>
      </c>
      <c r="Q80" s="9" t="s">
        <v>35</v>
      </c>
      <c r="R80" s="9" t="s">
        <v>36</v>
      </c>
      <c r="S80" s="15">
        <v>2.9143185E7</v>
      </c>
      <c r="T80" s="13" t="s">
        <v>47</v>
      </c>
      <c r="U80" s="13" t="s">
        <v>47</v>
      </c>
      <c r="V80" s="13" t="s">
        <v>38</v>
      </c>
      <c r="W80" s="13" t="s">
        <v>37</v>
      </c>
      <c r="X80" s="13" t="s">
        <v>37</v>
      </c>
      <c r="Y80" s="13" t="s">
        <v>51</v>
      </c>
      <c r="Z80" s="20" t="s">
        <v>37</v>
      </c>
      <c r="AA80" s="13" t="s">
        <v>40</v>
      </c>
      <c r="AB80" s="28">
        <f t="shared" si="4"/>
        <v>10</v>
      </c>
    </row>
    <row r="81" ht="25.5" customHeight="1">
      <c r="A81" s="8">
        <v>45614.73859642362</v>
      </c>
      <c r="B81" s="9">
        <v>80.0</v>
      </c>
      <c r="C81" s="9" t="str">
        <f t="shared" si="1"/>
        <v>LETÍCIA CALLOT PINTO DA SILVA</v>
      </c>
      <c r="D81" s="9" t="s">
        <v>151</v>
      </c>
      <c r="E81" s="11">
        <v>30006.0</v>
      </c>
      <c r="F81" s="16">
        <f t="shared" si="2"/>
        <v>43</v>
      </c>
      <c r="G81" s="9" t="str">
        <f t="shared" si="3"/>
        <v>fevereiro</v>
      </c>
      <c r="H81" s="12">
        <v>2.7988536515E10</v>
      </c>
      <c r="I81" s="13" t="s">
        <v>42</v>
      </c>
      <c r="J81" s="9"/>
      <c r="K81" s="13" t="s">
        <v>49</v>
      </c>
      <c r="L81" s="9" t="s">
        <v>150</v>
      </c>
      <c r="M81" s="10"/>
      <c r="N81" s="9" t="s">
        <v>283</v>
      </c>
      <c r="O81" s="9">
        <v>59.0</v>
      </c>
      <c r="P81" s="9" t="s">
        <v>121</v>
      </c>
      <c r="Q81" s="9" t="s">
        <v>35</v>
      </c>
      <c r="R81" s="9" t="s">
        <v>36</v>
      </c>
      <c r="S81" s="15">
        <v>2.914684E7</v>
      </c>
      <c r="T81" s="13" t="s">
        <v>47</v>
      </c>
      <c r="U81" s="13" t="s">
        <v>47</v>
      </c>
      <c r="V81" s="13" t="s">
        <v>38</v>
      </c>
      <c r="W81" s="13" t="s">
        <v>37</v>
      </c>
      <c r="X81" s="13" t="s">
        <v>37</v>
      </c>
      <c r="Y81" s="13" t="s">
        <v>51</v>
      </c>
      <c r="Z81" s="20" t="s">
        <v>37</v>
      </c>
      <c r="AA81" s="13" t="s">
        <v>40</v>
      </c>
      <c r="AB81" s="18">
        <f t="shared" si="4"/>
        <v>2</v>
      </c>
    </row>
    <row r="82" ht="25.5" customHeight="1">
      <c r="A82" s="8">
        <v>45614.7145846412</v>
      </c>
      <c r="B82" s="9">
        <v>81.0</v>
      </c>
      <c r="C82" s="9" t="str">
        <f t="shared" si="1"/>
        <v>LEVINDO LUCAS DA CRUZ NETO</v>
      </c>
      <c r="D82" s="9" t="s">
        <v>284</v>
      </c>
      <c r="E82" s="11">
        <v>22519.0</v>
      </c>
      <c r="F82" s="16">
        <f t="shared" si="2"/>
        <v>64</v>
      </c>
      <c r="G82" s="17" t="str">
        <f t="shared" si="3"/>
        <v>agosto</v>
      </c>
      <c r="H82" s="12">
        <v>2.7996065024E10</v>
      </c>
      <c r="I82" s="13" t="s">
        <v>29</v>
      </c>
      <c r="J82" s="9"/>
      <c r="K82" s="13" t="s">
        <v>49</v>
      </c>
      <c r="L82" s="9" t="s">
        <v>255</v>
      </c>
      <c r="M82" s="10"/>
      <c r="N82" s="9" t="s">
        <v>285</v>
      </c>
      <c r="O82" s="9">
        <v>109.0</v>
      </c>
      <c r="P82" s="9" t="s">
        <v>244</v>
      </c>
      <c r="Q82" s="9" t="s">
        <v>35</v>
      </c>
      <c r="R82" s="9" t="s">
        <v>36</v>
      </c>
      <c r="S82" s="15">
        <v>2.9143732E7</v>
      </c>
      <c r="T82" s="13" t="s">
        <v>47</v>
      </c>
      <c r="U82" s="13" t="s">
        <v>47</v>
      </c>
      <c r="V82" s="13" t="s">
        <v>38</v>
      </c>
      <c r="W82" s="13" t="s">
        <v>37</v>
      </c>
      <c r="X82" s="13" t="s">
        <v>37</v>
      </c>
      <c r="Y82" s="13" t="s">
        <v>65</v>
      </c>
      <c r="Z82" s="20" t="s">
        <v>37</v>
      </c>
      <c r="AA82" s="13" t="s">
        <v>40</v>
      </c>
      <c r="AB82" s="18">
        <f t="shared" si="4"/>
        <v>8</v>
      </c>
    </row>
    <row r="83" ht="25.5" customHeight="1">
      <c r="A83" s="8">
        <v>45614.70315666667</v>
      </c>
      <c r="B83" s="9">
        <v>82.0</v>
      </c>
      <c r="C83" s="9" t="str">
        <f t="shared" si="1"/>
        <v>LILIAN DE SOUZA VIEIRA </v>
      </c>
      <c r="D83" s="9" t="s">
        <v>286</v>
      </c>
      <c r="E83" s="11">
        <v>33386.0</v>
      </c>
      <c r="F83" s="16">
        <f t="shared" si="2"/>
        <v>34</v>
      </c>
      <c r="G83" s="17" t="str">
        <f t="shared" si="3"/>
        <v>maio</v>
      </c>
      <c r="H83" s="12">
        <v>2.7998504695E10</v>
      </c>
      <c r="I83" s="13" t="s">
        <v>42</v>
      </c>
      <c r="J83" s="9"/>
      <c r="K83" s="13" t="s">
        <v>49</v>
      </c>
      <c r="L83" s="9" t="s">
        <v>287</v>
      </c>
      <c r="M83" s="10"/>
      <c r="N83" s="9">
        <v>16.0</v>
      </c>
      <c r="O83" s="9">
        <v>141.0</v>
      </c>
      <c r="P83" s="9" t="s">
        <v>288</v>
      </c>
      <c r="Q83" s="9" t="s">
        <v>35</v>
      </c>
      <c r="R83" s="9" t="s">
        <v>36</v>
      </c>
      <c r="S83" s="15">
        <v>2.9157414E7</v>
      </c>
      <c r="T83" s="13" t="s">
        <v>47</v>
      </c>
      <c r="U83" s="13" t="s">
        <v>47</v>
      </c>
      <c r="V83" s="13" t="s">
        <v>38</v>
      </c>
      <c r="W83" s="13" t="s">
        <v>47</v>
      </c>
      <c r="X83" s="13" t="s">
        <v>37</v>
      </c>
      <c r="Y83" s="13" t="s">
        <v>69</v>
      </c>
      <c r="Z83" s="20" t="s">
        <v>37</v>
      </c>
      <c r="AA83" s="13" t="s">
        <v>40</v>
      </c>
      <c r="AB83" s="18">
        <f t="shared" si="4"/>
        <v>5</v>
      </c>
    </row>
    <row r="84" ht="25.5" customHeight="1">
      <c r="A84" s="8">
        <v>45614.709048564815</v>
      </c>
      <c r="B84" s="9">
        <v>83.0</v>
      </c>
      <c r="C84" s="9" t="str">
        <f t="shared" si="1"/>
        <v>LINDALVA DE CASTRO PEREIRA DA CRUZ </v>
      </c>
      <c r="D84" s="9" t="s">
        <v>255</v>
      </c>
      <c r="E84" s="11">
        <v>25701.0</v>
      </c>
      <c r="F84" s="16">
        <f t="shared" si="2"/>
        <v>55</v>
      </c>
      <c r="G84" s="17" t="str">
        <f t="shared" si="3"/>
        <v>maio</v>
      </c>
      <c r="H84" s="12">
        <v>2.7998756058E10</v>
      </c>
      <c r="I84" s="13" t="s">
        <v>42</v>
      </c>
      <c r="J84" s="9"/>
      <c r="K84" s="13" t="s">
        <v>49</v>
      </c>
      <c r="L84" s="9" t="s">
        <v>284</v>
      </c>
      <c r="M84" s="10"/>
      <c r="N84" s="9" t="s">
        <v>256</v>
      </c>
      <c r="O84" s="9">
        <v>109.0</v>
      </c>
      <c r="P84" s="9" t="s">
        <v>244</v>
      </c>
      <c r="Q84" s="9" t="s">
        <v>35</v>
      </c>
      <c r="R84" s="9" t="s">
        <v>36</v>
      </c>
      <c r="S84" s="15">
        <v>2.9143732E7</v>
      </c>
      <c r="T84" s="13" t="s">
        <v>47</v>
      </c>
      <c r="U84" s="13" t="s">
        <v>47</v>
      </c>
      <c r="V84" s="13" t="s">
        <v>38</v>
      </c>
      <c r="W84" s="13" t="s">
        <v>47</v>
      </c>
      <c r="X84" s="13" t="s">
        <v>37</v>
      </c>
      <c r="Y84" s="13" t="s">
        <v>51</v>
      </c>
      <c r="Z84" s="20" t="s">
        <v>37</v>
      </c>
      <c r="AA84" s="13" t="s">
        <v>40</v>
      </c>
      <c r="AB84" s="18">
        <f t="shared" si="4"/>
        <v>5</v>
      </c>
    </row>
    <row r="85" ht="25.5" customHeight="1">
      <c r="A85" s="8">
        <v>45617.8748752199</v>
      </c>
      <c r="B85" s="9">
        <v>84.0</v>
      </c>
      <c r="C85" s="10" t="str">
        <f t="shared" si="1"/>
        <v>LORRAINHE DA SILVA</v>
      </c>
      <c r="D85" s="9" t="s">
        <v>289</v>
      </c>
      <c r="E85" s="11">
        <v>32320.0</v>
      </c>
      <c r="F85" s="16">
        <f t="shared" si="2"/>
        <v>37</v>
      </c>
      <c r="G85" s="10" t="str">
        <f t="shared" si="3"/>
        <v>junho</v>
      </c>
      <c r="H85" s="12">
        <v>2.7996547612E10</v>
      </c>
      <c r="I85" s="13" t="s">
        <v>42</v>
      </c>
      <c r="J85" s="9" t="s">
        <v>290</v>
      </c>
      <c r="K85" s="13" t="s">
        <v>30</v>
      </c>
      <c r="L85" s="10"/>
      <c r="M85" s="10"/>
      <c r="N85" s="9" t="s">
        <v>208</v>
      </c>
      <c r="O85" s="9">
        <v>466.0</v>
      </c>
      <c r="P85" s="9" t="s">
        <v>291</v>
      </c>
      <c r="Q85" s="9" t="s">
        <v>35</v>
      </c>
      <c r="R85" s="9" t="s">
        <v>36</v>
      </c>
      <c r="S85" s="15">
        <v>2.914406E7</v>
      </c>
      <c r="T85" s="13" t="s">
        <v>47</v>
      </c>
      <c r="U85" s="13" t="s">
        <v>47</v>
      </c>
      <c r="V85" s="13" t="s">
        <v>38</v>
      </c>
      <c r="W85" s="13" t="s">
        <v>37</v>
      </c>
      <c r="X85" s="13" t="s">
        <v>37</v>
      </c>
      <c r="Y85" s="13" t="s">
        <v>51</v>
      </c>
      <c r="Z85" s="20" t="s">
        <v>37</v>
      </c>
      <c r="AA85" s="13" t="s">
        <v>40</v>
      </c>
      <c r="AB85" s="10">
        <f t="shared" si="4"/>
        <v>6</v>
      </c>
    </row>
    <row r="86" ht="25.5" customHeight="1">
      <c r="A86" s="8">
        <v>45796.428852881945</v>
      </c>
      <c r="B86" s="9">
        <v>85.0</v>
      </c>
      <c r="C86" s="10" t="str">
        <f t="shared" si="1"/>
        <v>LUCAS AMADO DOS REIS</v>
      </c>
      <c r="D86" s="9" t="s">
        <v>292</v>
      </c>
      <c r="E86" s="11">
        <v>39859.0</v>
      </c>
      <c r="F86" s="10">
        <f t="shared" si="2"/>
        <v>16</v>
      </c>
      <c r="G86" s="10" t="str">
        <f t="shared" si="3"/>
        <v>fevereiro</v>
      </c>
      <c r="H86" s="12">
        <v>2.7996246871E10</v>
      </c>
      <c r="I86" s="13" t="s">
        <v>29</v>
      </c>
      <c r="J86" s="10"/>
      <c r="K86" s="13" t="s">
        <v>30</v>
      </c>
      <c r="L86" s="10"/>
      <c r="M86" s="9" t="s">
        <v>293</v>
      </c>
      <c r="N86" s="9" t="s">
        <v>117</v>
      </c>
      <c r="O86" s="9">
        <v>48.0</v>
      </c>
      <c r="P86" s="9" t="s">
        <v>294</v>
      </c>
      <c r="Q86" s="9" t="s">
        <v>35</v>
      </c>
      <c r="R86" s="9" t="s">
        <v>36</v>
      </c>
      <c r="S86" s="15">
        <v>2.914404E7</v>
      </c>
      <c r="T86" s="13" t="s">
        <v>37</v>
      </c>
      <c r="U86" s="13" t="s">
        <v>37</v>
      </c>
      <c r="V86" s="13" t="s">
        <v>38</v>
      </c>
      <c r="W86" s="13" t="s">
        <v>37</v>
      </c>
      <c r="X86" s="13" t="s">
        <v>37</v>
      </c>
      <c r="Y86" s="13" t="s">
        <v>48</v>
      </c>
      <c r="Z86" s="13" t="s">
        <v>37</v>
      </c>
      <c r="AA86" s="13" t="s">
        <v>40</v>
      </c>
      <c r="AB86" s="10">
        <f t="shared" si="4"/>
        <v>2</v>
      </c>
    </row>
    <row r="87" ht="25.5" customHeight="1">
      <c r="A87" s="8">
        <v>45625.30576804398</v>
      </c>
      <c r="B87" s="9">
        <v>86.0</v>
      </c>
      <c r="C87" s="10" t="str">
        <f t="shared" si="1"/>
        <v>LUISA CASSIANO BORGES </v>
      </c>
      <c r="D87" s="9" t="s">
        <v>295</v>
      </c>
      <c r="E87" s="11">
        <v>37940.0</v>
      </c>
      <c r="F87" s="10">
        <f t="shared" si="2"/>
        <v>21</v>
      </c>
      <c r="G87" s="10" t="str">
        <f t="shared" si="3"/>
        <v>novembro</v>
      </c>
      <c r="H87" s="12">
        <v>2.7995742249E10</v>
      </c>
      <c r="I87" s="13" t="s">
        <v>42</v>
      </c>
      <c r="J87" s="10"/>
      <c r="K87" s="13" t="s">
        <v>49</v>
      </c>
      <c r="L87" s="9" t="s">
        <v>296</v>
      </c>
      <c r="M87" s="10"/>
      <c r="N87" s="9" t="s">
        <v>297</v>
      </c>
      <c r="O87" s="9">
        <v>13.0</v>
      </c>
      <c r="P87" s="9" t="s">
        <v>253</v>
      </c>
      <c r="Q87" s="9" t="s">
        <v>35</v>
      </c>
      <c r="R87" s="9" t="s">
        <v>36</v>
      </c>
      <c r="S87" s="15" t="s">
        <v>298</v>
      </c>
      <c r="T87" s="13" t="s">
        <v>47</v>
      </c>
      <c r="U87" s="13" t="s">
        <v>47</v>
      </c>
      <c r="V87" s="13" t="s">
        <v>38</v>
      </c>
      <c r="W87" s="13" t="s">
        <v>37</v>
      </c>
      <c r="X87" s="13" t="s">
        <v>37</v>
      </c>
      <c r="Y87" s="13" t="s">
        <v>69</v>
      </c>
      <c r="Z87" s="20" t="s">
        <v>37</v>
      </c>
      <c r="AA87" s="13" t="s">
        <v>40</v>
      </c>
      <c r="AB87" s="10">
        <f t="shared" si="4"/>
        <v>11</v>
      </c>
    </row>
    <row r="88" ht="25.5" customHeight="1">
      <c r="A88" s="8">
        <v>45802.358224641204</v>
      </c>
      <c r="B88" s="9">
        <v>87.0</v>
      </c>
      <c r="C88" s="10" t="str">
        <f t="shared" si="1"/>
        <v>LUIZ FERNANDO SILVA QUEIROZ LIRA </v>
      </c>
      <c r="D88" s="9" t="s">
        <v>250</v>
      </c>
      <c r="E88" s="11">
        <v>34664.0</v>
      </c>
      <c r="F88" s="10">
        <f t="shared" si="2"/>
        <v>30</v>
      </c>
      <c r="G88" s="10" t="str">
        <f t="shared" si="3"/>
        <v>novembro</v>
      </c>
      <c r="H88" s="12">
        <v>2.798800096E10</v>
      </c>
      <c r="I88" s="13" t="s">
        <v>29</v>
      </c>
      <c r="J88" s="10"/>
      <c r="K88" s="19"/>
      <c r="L88" s="9" t="s">
        <v>299</v>
      </c>
      <c r="M88" s="10"/>
      <c r="N88" s="9" t="s">
        <v>252</v>
      </c>
      <c r="O88" s="9">
        <v>182.0</v>
      </c>
      <c r="P88" s="9" t="s">
        <v>300</v>
      </c>
      <c r="Q88" s="9" t="s">
        <v>35</v>
      </c>
      <c r="R88" s="9" t="s">
        <v>36</v>
      </c>
      <c r="S88" s="9">
        <v>2.9152395E7</v>
      </c>
      <c r="T88" s="13" t="s">
        <v>47</v>
      </c>
      <c r="U88" s="13" t="s">
        <v>47</v>
      </c>
      <c r="V88" s="13" t="s">
        <v>38</v>
      </c>
      <c r="W88" s="13" t="s">
        <v>37</v>
      </c>
      <c r="X88" s="13" t="s">
        <v>37</v>
      </c>
      <c r="Y88" s="13" t="s">
        <v>69</v>
      </c>
      <c r="Z88" s="13" t="s">
        <v>37</v>
      </c>
      <c r="AA88" s="13" t="s">
        <v>40</v>
      </c>
      <c r="AB88" s="10">
        <f t="shared" si="4"/>
        <v>11</v>
      </c>
    </row>
    <row r="89" ht="25.5" customHeight="1">
      <c r="A89" s="8">
        <v>45913.73925716435</v>
      </c>
      <c r="B89" s="9">
        <v>88.0</v>
      </c>
      <c r="C89" s="10" t="str">
        <f t="shared" si="1"/>
        <v>MACIEL DE ARAUJO SOUSA </v>
      </c>
      <c r="D89" s="9" t="s">
        <v>301</v>
      </c>
      <c r="E89" s="11">
        <v>32926.0</v>
      </c>
      <c r="F89" s="10">
        <f t="shared" si="2"/>
        <v>35</v>
      </c>
      <c r="G89" s="10" t="str">
        <f t="shared" si="3"/>
        <v>fevereiro</v>
      </c>
      <c r="H89" s="9" t="s">
        <v>302</v>
      </c>
      <c r="I89" s="13" t="s">
        <v>42</v>
      </c>
      <c r="J89" s="10"/>
      <c r="K89" s="13" t="s">
        <v>49</v>
      </c>
      <c r="L89" s="9" t="s">
        <v>56</v>
      </c>
      <c r="M89" s="9" t="s">
        <v>251</v>
      </c>
      <c r="N89" s="9" t="s">
        <v>303</v>
      </c>
      <c r="O89" s="9">
        <v>216.0</v>
      </c>
      <c r="P89" s="9" t="s">
        <v>60</v>
      </c>
      <c r="Q89" s="9" t="s">
        <v>35</v>
      </c>
      <c r="R89" s="9" t="s">
        <v>36</v>
      </c>
      <c r="S89" s="9">
        <v>2.9143508E7</v>
      </c>
      <c r="T89" s="13" t="s">
        <v>37</v>
      </c>
      <c r="U89" s="13" t="s">
        <v>37</v>
      </c>
      <c r="V89" s="13" t="s">
        <v>38</v>
      </c>
      <c r="W89" s="13" t="s">
        <v>37</v>
      </c>
      <c r="X89" s="13" t="s">
        <v>37</v>
      </c>
      <c r="Y89" s="13" t="s">
        <v>69</v>
      </c>
      <c r="Z89" s="13" t="s">
        <v>37</v>
      </c>
      <c r="AA89" s="13" t="s">
        <v>40</v>
      </c>
      <c r="AB89" s="10">
        <f t="shared" si="4"/>
        <v>2</v>
      </c>
    </row>
    <row r="90" ht="25.5" customHeight="1">
      <c r="A90" s="8">
        <v>45614.83047611111</v>
      </c>
      <c r="B90" s="9">
        <v>89.0</v>
      </c>
      <c r="C90" s="9" t="str">
        <f t="shared" si="1"/>
        <v>MANOELA TAVARES PEREIRA </v>
      </c>
      <c r="D90" s="9" t="s">
        <v>304</v>
      </c>
      <c r="E90" s="11">
        <v>35781.0</v>
      </c>
      <c r="F90" s="16">
        <f t="shared" si="2"/>
        <v>27</v>
      </c>
      <c r="G90" s="9" t="str">
        <f t="shared" si="3"/>
        <v>dezembro</v>
      </c>
      <c r="H90" s="12">
        <v>2.7996349682E10</v>
      </c>
      <c r="I90" s="13" t="s">
        <v>42</v>
      </c>
      <c r="J90" s="10"/>
      <c r="K90" s="13" t="s">
        <v>30</v>
      </c>
      <c r="L90" s="10"/>
      <c r="M90" s="10"/>
      <c r="N90" s="9" t="s">
        <v>63</v>
      </c>
      <c r="O90" s="14" t="s">
        <v>64</v>
      </c>
      <c r="P90" s="9" t="s">
        <v>55</v>
      </c>
      <c r="Q90" s="9" t="s">
        <v>35</v>
      </c>
      <c r="R90" s="9" t="s">
        <v>36</v>
      </c>
      <c r="S90" s="15">
        <v>2.914576E7</v>
      </c>
      <c r="T90" s="13" t="s">
        <v>47</v>
      </c>
      <c r="U90" s="13" t="s">
        <v>47</v>
      </c>
      <c r="V90" s="13" t="s">
        <v>38</v>
      </c>
      <c r="W90" s="13" t="s">
        <v>37</v>
      </c>
      <c r="X90" s="13" t="s">
        <v>47</v>
      </c>
      <c r="Y90" s="13" t="s">
        <v>69</v>
      </c>
      <c r="Z90" s="20" t="s">
        <v>37</v>
      </c>
      <c r="AA90" s="13" t="s">
        <v>40</v>
      </c>
      <c r="AB90" s="18">
        <f t="shared" si="4"/>
        <v>12</v>
      </c>
    </row>
    <row r="91" ht="25.5" customHeight="1">
      <c r="A91" s="8">
        <v>45614.84841304398</v>
      </c>
      <c r="B91" s="9">
        <v>90.0</v>
      </c>
      <c r="C91" s="9" t="str">
        <f t="shared" si="1"/>
        <v>MARA LUCIA TAVARES PEREIRA </v>
      </c>
      <c r="D91" s="9" t="s">
        <v>62</v>
      </c>
      <c r="E91" s="11">
        <v>23734.0</v>
      </c>
      <c r="F91" s="16">
        <f t="shared" si="2"/>
        <v>60</v>
      </c>
      <c r="G91" s="9" t="str">
        <f t="shared" si="3"/>
        <v>dezembro</v>
      </c>
      <c r="H91" s="12">
        <v>2.7997459421E10</v>
      </c>
      <c r="I91" s="13" t="s">
        <v>42</v>
      </c>
      <c r="J91" s="9"/>
      <c r="K91" s="13" t="s">
        <v>49</v>
      </c>
      <c r="L91" s="9" t="s">
        <v>305</v>
      </c>
      <c r="M91" s="10"/>
      <c r="N91" s="9" t="s">
        <v>63</v>
      </c>
      <c r="O91" s="14" t="s">
        <v>64</v>
      </c>
      <c r="P91" s="9" t="s">
        <v>55</v>
      </c>
      <c r="Q91" s="9" t="s">
        <v>35</v>
      </c>
      <c r="R91" s="9" t="s">
        <v>36</v>
      </c>
      <c r="S91" s="15">
        <v>2.914576E7</v>
      </c>
      <c r="T91" s="13" t="s">
        <v>47</v>
      </c>
      <c r="U91" s="13" t="s">
        <v>47</v>
      </c>
      <c r="V91" s="13" t="s">
        <v>38</v>
      </c>
      <c r="W91" s="13" t="s">
        <v>37</v>
      </c>
      <c r="X91" s="13" t="s">
        <v>37</v>
      </c>
      <c r="Y91" s="13" t="s">
        <v>51</v>
      </c>
      <c r="Z91" s="20" t="s">
        <v>37</v>
      </c>
      <c r="AA91" s="13" t="s">
        <v>40</v>
      </c>
      <c r="AB91" s="18">
        <f t="shared" si="4"/>
        <v>12</v>
      </c>
    </row>
    <row r="92" ht="25.5" customHeight="1">
      <c r="A92" s="8">
        <v>45616.87890737268</v>
      </c>
      <c r="B92" s="9">
        <v>91.0</v>
      </c>
      <c r="C92" s="9" t="str">
        <f t="shared" si="1"/>
        <v>MARIA ABADIS DOS SANTOS</v>
      </c>
      <c r="D92" s="9" t="s">
        <v>306</v>
      </c>
      <c r="E92" s="11">
        <v>21049.0</v>
      </c>
      <c r="F92" s="16">
        <f t="shared" si="2"/>
        <v>68</v>
      </c>
      <c r="G92" s="10" t="str">
        <f t="shared" si="3"/>
        <v>agosto</v>
      </c>
      <c r="H92" s="12">
        <v>2.7996918111E10</v>
      </c>
      <c r="I92" s="13" t="s">
        <v>42</v>
      </c>
      <c r="J92" s="9" t="s">
        <v>216</v>
      </c>
      <c r="K92" s="13" t="s">
        <v>30</v>
      </c>
      <c r="L92" s="10"/>
      <c r="M92" s="10"/>
      <c r="N92" s="9" t="s">
        <v>225</v>
      </c>
      <c r="O92" s="14" t="s">
        <v>33</v>
      </c>
      <c r="P92" s="9" t="s">
        <v>307</v>
      </c>
      <c r="Q92" s="9" t="s">
        <v>35</v>
      </c>
      <c r="R92" s="9" t="s">
        <v>36</v>
      </c>
      <c r="S92" s="15">
        <v>2.9144306E7</v>
      </c>
      <c r="T92" s="13" t="s">
        <v>47</v>
      </c>
      <c r="U92" s="13" t="s">
        <v>47</v>
      </c>
      <c r="V92" s="13" t="s">
        <v>38</v>
      </c>
      <c r="W92" s="13" t="s">
        <v>37</v>
      </c>
      <c r="X92" s="13" t="s">
        <v>37</v>
      </c>
      <c r="Y92" s="13" t="s">
        <v>65</v>
      </c>
      <c r="Z92" s="20" t="s">
        <v>37</v>
      </c>
      <c r="AA92" s="13" t="s">
        <v>40</v>
      </c>
      <c r="AB92" s="28">
        <f t="shared" si="4"/>
        <v>8</v>
      </c>
    </row>
    <row r="93" ht="25.5" customHeight="1">
      <c r="A93" s="8">
        <v>45620.89238348379</v>
      </c>
      <c r="B93" s="9">
        <v>92.0</v>
      </c>
      <c r="C93" s="10" t="str">
        <f t="shared" si="1"/>
        <v>MARIA ALDA ALVES DE SOUZA </v>
      </c>
      <c r="D93" s="9" t="s">
        <v>279</v>
      </c>
      <c r="E93" s="11">
        <v>29315.0</v>
      </c>
      <c r="F93" s="10">
        <f t="shared" si="2"/>
        <v>45</v>
      </c>
      <c r="G93" s="10" t="str">
        <f t="shared" si="3"/>
        <v>abril</v>
      </c>
      <c r="H93" s="12">
        <v>2.7988035877E10</v>
      </c>
      <c r="I93" s="13" t="s">
        <v>42</v>
      </c>
      <c r="J93" s="10"/>
      <c r="K93" s="13" t="s">
        <v>49</v>
      </c>
      <c r="L93" s="9" t="s">
        <v>308</v>
      </c>
      <c r="M93" s="10"/>
      <c r="N93" s="9" t="s">
        <v>309</v>
      </c>
      <c r="O93" s="9" t="s">
        <v>281</v>
      </c>
      <c r="P93" s="9" t="s">
        <v>310</v>
      </c>
      <c r="Q93" s="9" t="s">
        <v>35</v>
      </c>
      <c r="R93" s="9" t="s">
        <v>36</v>
      </c>
      <c r="S93" s="15">
        <v>2.9143185E7</v>
      </c>
      <c r="T93" s="13" t="s">
        <v>47</v>
      </c>
      <c r="U93" s="13" t="s">
        <v>47</v>
      </c>
      <c r="V93" s="13" t="s">
        <v>38</v>
      </c>
      <c r="W93" s="13" t="s">
        <v>37</v>
      </c>
      <c r="X93" s="13" t="s">
        <v>37</v>
      </c>
      <c r="Y93" s="13" t="s">
        <v>51</v>
      </c>
      <c r="Z93" s="20" t="s">
        <v>37</v>
      </c>
      <c r="AA93" s="13" t="s">
        <v>40</v>
      </c>
      <c r="AB93" s="10">
        <f t="shared" si="4"/>
        <v>4</v>
      </c>
    </row>
    <row r="94" ht="25.5" customHeight="1">
      <c r="A94" s="8">
        <v>45614.7084109375</v>
      </c>
      <c r="B94" s="9">
        <v>93.0</v>
      </c>
      <c r="C94" s="9" t="str">
        <f t="shared" si="1"/>
        <v>MARIA CLARA MENDONÇA COLONETTI </v>
      </c>
      <c r="D94" s="9" t="s">
        <v>311</v>
      </c>
      <c r="E94" s="11">
        <v>38901.0</v>
      </c>
      <c r="F94" s="16">
        <f t="shared" si="2"/>
        <v>19</v>
      </c>
      <c r="G94" s="17" t="str">
        <f t="shared" si="3"/>
        <v>julho</v>
      </c>
      <c r="H94" s="12">
        <v>2.7999972115E10</v>
      </c>
      <c r="I94" s="13" t="s">
        <v>42</v>
      </c>
      <c r="J94" s="10"/>
      <c r="K94" s="13" t="s">
        <v>30</v>
      </c>
      <c r="L94" s="10"/>
      <c r="M94" s="10"/>
      <c r="N94" s="9" t="s">
        <v>312</v>
      </c>
      <c r="O94" s="9">
        <v>100.0</v>
      </c>
      <c r="P94" s="9" t="s">
        <v>313</v>
      </c>
      <c r="Q94" s="9" t="s">
        <v>35</v>
      </c>
      <c r="R94" s="9" t="s">
        <v>36</v>
      </c>
      <c r="S94" s="15" t="s">
        <v>314</v>
      </c>
      <c r="T94" s="13" t="s">
        <v>47</v>
      </c>
      <c r="U94" s="13" t="s">
        <v>47</v>
      </c>
      <c r="V94" s="13" t="s">
        <v>38</v>
      </c>
      <c r="W94" s="13" t="s">
        <v>37</v>
      </c>
      <c r="X94" s="13" t="s">
        <v>37</v>
      </c>
      <c r="Y94" s="13" t="s">
        <v>69</v>
      </c>
      <c r="Z94" s="20" t="s">
        <v>37</v>
      </c>
      <c r="AA94" s="13" t="s">
        <v>40</v>
      </c>
      <c r="AB94" s="18">
        <f t="shared" si="4"/>
        <v>7</v>
      </c>
    </row>
    <row r="95" ht="25.5" customHeight="1">
      <c r="A95" s="8">
        <v>45619.51593292824</v>
      </c>
      <c r="B95" s="9">
        <v>94.0</v>
      </c>
      <c r="C95" s="10" t="str">
        <f t="shared" si="1"/>
        <v>MARIA EDUARDA MONTEIRO OTÁVIO </v>
      </c>
      <c r="D95" s="9" t="s">
        <v>315</v>
      </c>
      <c r="E95" s="11">
        <v>39931.0</v>
      </c>
      <c r="F95" s="10">
        <f t="shared" si="2"/>
        <v>16</v>
      </c>
      <c r="G95" s="10" t="str">
        <f t="shared" si="3"/>
        <v>abril</v>
      </c>
      <c r="H95" s="12">
        <v>2.7998361927E10</v>
      </c>
      <c r="I95" s="13" t="s">
        <v>42</v>
      </c>
      <c r="J95" s="10"/>
      <c r="K95" s="13" t="s">
        <v>30</v>
      </c>
      <c r="L95" s="10"/>
      <c r="M95" s="9" t="s">
        <v>316</v>
      </c>
      <c r="N95" s="9" t="s">
        <v>178</v>
      </c>
      <c r="O95" s="9">
        <v>145.0</v>
      </c>
      <c r="P95" s="9" t="s">
        <v>179</v>
      </c>
      <c r="Q95" s="9" t="s">
        <v>35</v>
      </c>
      <c r="R95" s="9" t="s">
        <v>36</v>
      </c>
      <c r="S95" s="15">
        <v>2.9146805E7</v>
      </c>
      <c r="T95" s="13" t="s">
        <v>37</v>
      </c>
      <c r="U95" s="13" t="s">
        <v>37</v>
      </c>
      <c r="V95" s="13" t="s">
        <v>38</v>
      </c>
      <c r="W95" s="13" t="s">
        <v>37</v>
      </c>
      <c r="X95" s="13" t="s">
        <v>37</v>
      </c>
      <c r="Y95" s="13" t="s">
        <v>48</v>
      </c>
      <c r="Z95" s="20" t="s">
        <v>37</v>
      </c>
      <c r="AA95" s="13" t="s">
        <v>40</v>
      </c>
      <c r="AB95" s="10">
        <f t="shared" si="4"/>
        <v>4</v>
      </c>
    </row>
    <row r="96" ht="25.5" customHeight="1">
      <c r="A96" s="8">
        <v>45617.55800210648</v>
      </c>
      <c r="B96" s="9">
        <v>95.0</v>
      </c>
      <c r="C96" s="9" t="str">
        <f t="shared" si="1"/>
        <v>MARIA HELENA ROCHA</v>
      </c>
      <c r="D96" s="9" t="s">
        <v>192</v>
      </c>
      <c r="E96" s="11">
        <v>27774.0</v>
      </c>
      <c r="F96" s="16">
        <f t="shared" si="2"/>
        <v>49</v>
      </c>
      <c r="G96" s="10" t="str">
        <f t="shared" si="3"/>
        <v>janeiro</v>
      </c>
      <c r="H96" s="12">
        <v>2.7988427097E10</v>
      </c>
      <c r="I96" s="13" t="s">
        <v>42</v>
      </c>
      <c r="J96" s="9" t="s">
        <v>317</v>
      </c>
      <c r="K96" s="13" t="s">
        <v>30</v>
      </c>
      <c r="L96" s="9"/>
      <c r="M96" s="10"/>
      <c r="N96" s="9" t="s">
        <v>318</v>
      </c>
      <c r="O96" s="9">
        <v>64.0</v>
      </c>
      <c r="P96" s="9" t="s">
        <v>230</v>
      </c>
      <c r="Q96" s="9" t="s">
        <v>76</v>
      </c>
      <c r="R96" s="9" t="s">
        <v>36</v>
      </c>
      <c r="S96" s="15">
        <v>2.9134044E7</v>
      </c>
      <c r="T96" s="13" t="s">
        <v>47</v>
      </c>
      <c r="U96" s="13" t="s">
        <v>47</v>
      </c>
      <c r="V96" s="13" t="s">
        <v>38</v>
      </c>
      <c r="W96" s="13" t="s">
        <v>37</v>
      </c>
      <c r="X96" s="13" t="s">
        <v>37</v>
      </c>
      <c r="Y96" s="13" t="s">
        <v>51</v>
      </c>
      <c r="Z96" s="20" t="s">
        <v>37</v>
      </c>
      <c r="AA96" s="13" t="s">
        <v>40</v>
      </c>
      <c r="AB96" s="10">
        <f t="shared" si="4"/>
        <v>1</v>
      </c>
    </row>
    <row r="97" ht="25.5" customHeight="1">
      <c r="A97" s="8">
        <v>45617.341849131946</v>
      </c>
      <c r="B97" s="9">
        <v>96.0</v>
      </c>
      <c r="C97" s="9" t="str">
        <f t="shared" si="1"/>
        <v>MARIA JOSÉ BERGAMINI </v>
      </c>
      <c r="D97" s="9" t="s">
        <v>221</v>
      </c>
      <c r="E97" s="11">
        <v>22384.0</v>
      </c>
      <c r="F97" s="16">
        <f t="shared" si="2"/>
        <v>64</v>
      </c>
      <c r="G97" s="10" t="str">
        <f t="shared" si="3"/>
        <v>abril</v>
      </c>
      <c r="H97" s="12">
        <v>2.7999592139E10</v>
      </c>
      <c r="I97" s="13" t="s">
        <v>42</v>
      </c>
      <c r="J97" s="9"/>
      <c r="K97" s="13" t="s">
        <v>49</v>
      </c>
      <c r="L97" s="9" t="s">
        <v>220</v>
      </c>
      <c r="M97" s="10"/>
      <c r="N97" s="9" t="s">
        <v>222</v>
      </c>
      <c r="O97" s="9">
        <v>38.0</v>
      </c>
      <c r="P97" s="9" t="s">
        <v>179</v>
      </c>
      <c r="Q97" s="9" t="s">
        <v>35</v>
      </c>
      <c r="R97" s="9" t="s">
        <v>36</v>
      </c>
      <c r="S97" s="15">
        <v>2.914684E7</v>
      </c>
      <c r="T97" s="13" t="s">
        <v>47</v>
      </c>
      <c r="U97" s="13" t="s">
        <v>47</v>
      </c>
      <c r="V97" s="13" t="s">
        <v>38</v>
      </c>
      <c r="W97" s="13" t="s">
        <v>37</v>
      </c>
      <c r="X97" s="13" t="s">
        <v>47</v>
      </c>
      <c r="Y97" s="13" t="s">
        <v>65</v>
      </c>
      <c r="Z97" s="20" t="s">
        <v>37</v>
      </c>
      <c r="AA97" s="13" t="s">
        <v>40</v>
      </c>
      <c r="AB97" s="28">
        <f t="shared" si="4"/>
        <v>4</v>
      </c>
    </row>
    <row r="98" ht="25.5" customHeight="1">
      <c r="A98" s="8">
        <v>45616.67818099537</v>
      </c>
      <c r="B98" s="9">
        <v>97.0</v>
      </c>
      <c r="C98" s="9" t="str">
        <f t="shared" si="1"/>
        <v>MARICELIA DA CRUZ IZIDORO ARANTES ALVES </v>
      </c>
      <c r="D98" s="9" t="s">
        <v>319</v>
      </c>
      <c r="E98" s="11">
        <v>25901.0</v>
      </c>
      <c r="F98" s="16">
        <f t="shared" si="2"/>
        <v>54</v>
      </c>
      <c r="G98" s="10" t="str">
        <f t="shared" si="3"/>
        <v>novembro</v>
      </c>
      <c r="H98" s="12">
        <v>2.7992588238E10</v>
      </c>
      <c r="I98" s="13" t="s">
        <v>42</v>
      </c>
      <c r="J98" s="34" t="s">
        <v>320</v>
      </c>
      <c r="K98" s="13" t="s">
        <v>49</v>
      </c>
      <c r="L98" s="9" t="s">
        <v>321</v>
      </c>
      <c r="M98" s="10"/>
      <c r="N98" s="9" t="s">
        <v>153</v>
      </c>
      <c r="O98" s="9">
        <v>311.0</v>
      </c>
      <c r="P98" s="9" t="s">
        <v>226</v>
      </c>
      <c r="Q98" s="9" t="s">
        <v>35</v>
      </c>
      <c r="R98" s="9" t="s">
        <v>36</v>
      </c>
      <c r="S98" s="15">
        <v>2.9144375E7</v>
      </c>
      <c r="T98" s="13" t="s">
        <v>47</v>
      </c>
      <c r="U98" s="13" t="s">
        <v>37</v>
      </c>
      <c r="V98" s="13" t="s">
        <v>160</v>
      </c>
      <c r="W98" s="13" t="s">
        <v>37</v>
      </c>
      <c r="X98" s="13" t="s">
        <v>37</v>
      </c>
      <c r="Y98" s="13" t="s">
        <v>51</v>
      </c>
      <c r="Z98" s="20" t="s">
        <v>37</v>
      </c>
      <c r="AA98" s="13" t="s">
        <v>40</v>
      </c>
      <c r="AB98" s="28">
        <f t="shared" si="4"/>
        <v>11</v>
      </c>
    </row>
    <row r="99" ht="25.5" customHeight="1">
      <c r="A99" s="8">
        <v>45621.21788048611</v>
      </c>
      <c r="B99" s="9">
        <v>98.0</v>
      </c>
      <c r="C99" s="10" t="str">
        <f t="shared" si="1"/>
        <v>MARILZA OLIVEIRA DA COSTA ALMEIDA </v>
      </c>
      <c r="D99" s="9" t="s">
        <v>322</v>
      </c>
      <c r="E99" s="11">
        <v>26032.0</v>
      </c>
      <c r="F99" s="10">
        <f t="shared" si="2"/>
        <v>54</v>
      </c>
      <c r="G99" s="10" t="str">
        <f t="shared" si="3"/>
        <v>abril</v>
      </c>
      <c r="H99" s="12">
        <v>2.7996179308E10</v>
      </c>
      <c r="I99" s="13" t="s">
        <v>42</v>
      </c>
      <c r="J99" s="10"/>
      <c r="K99" s="13" t="s">
        <v>49</v>
      </c>
      <c r="L99" s="9" t="s">
        <v>323</v>
      </c>
      <c r="M99" s="10"/>
      <c r="N99" s="9" t="s">
        <v>229</v>
      </c>
      <c r="O99" s="9">
        <v>63.0</v>
      </c>
      <c r="P99" s="9" t="s">
        <v>230</v>
      </c>
      <c r="Q99" s="9" t="s">
        <v>76</v>
      </c>
      <c r="R99" s="9" t="s">
        <v>36</v>
      </c>
      <c r="S99" s="35"/>
      <c r="T99" s="13" t="s">
        <v>47</v>
      </c>
      <c r="U99" s="13" t="s">
        <v>47</v>
      </c>
      <c r="V99" s="13" t="s">
        <v>38</v>
      </c>
      <c r="W99" s="13" t="s">
        <v>37</v>
      </c>
      <c r="X99" s="13" t="s">
        <v>37</v>
      </c>
      <c r="Y99" s="13" t="s">
        <v>51</v>
      </c>
      <c r="Z99" s="20" t="s">
        <v>37</v>
      </c>
      <c r="AA99" s="13" t="s">
        <v>40</v>
      </c>
      <c r="AB99" s="10">
        <f t="shared" si="4"/>
        <v>4</v>
      </c>
    </row>
    <row r="100" ht="25.5" customHeight="1">
      <c r="A100" s="8">
        <v>45618.50775366898</v>
      </c>
      <c r="B100" s="9">
        <v>99.0</v>
      </c>
      <c r="C100" s="10" t="str">
        <f t="shared" si="1"/>
        <v>MARLI DO CARMO DA SILVA ROLIM</v>
      </c>
      <c r="D100" s="9" t="s">
        <v>324</v>
      </c>
      <c r="E100" s="11">
        <v>26116.0</v>
      </c>
      <c r="F100" s="10">
        <f t="shared" si="2"/>
        <v>54</v>
      </c>
      <c r="G100" s="10" t="str">
        <f t="shared" si="3"/>
        <v>julho</v>
      </c>
      <c r="H100" s="12">
        <v>2.7997434854E10</v>
      </c>
      <c r="I100" s="13" t="s">
        <v>42</v>
      </c>
      <c r="J100" s="10"/>
      <c r="K100" s="13" t="s">
        <v>49</v>
      </c>
      <c r="L100" s="9" t="s">
        <v>325</v>
      </c>
      <c r="M100" s="10"/>
      <c r="N100" s="9" t="s">
        <v>326</v>
      </c>
      <c r="O100" s="9">
        <v>37.0</v>
      </c>
      <c r="P100" s="9" t="s">
        <v>98</v>
      </c>
      <c r="Q100" s="9" t="s">
        <v>35</v>
      </c>
      <c r="R100" s="9" t="s">
        <v>36</v>
      </c>
      <c r="S100" s="15">
        <v>2.9146653E7</v>
      </c>
      <c r="T100" s="13" t="s">
        <v>47</v>
      </c>
      <c r="U100" s="13" t="s">
        <v>47</v>
      </c>
      <c r="V100" s="13" t="s">
        <v>38</v>
      </c>
      <c r="W100" s="13" t="s">
        <v>37</v>
      </c>
      <c r="X100" s="13" t="s">
        <v>37</v>
      </c>
      <c r="Y100" s="13" t="s">
        <v>51</v>
      </c>
      <c r="Z100" s="20" t="s">
        <v>37</v>
      </c>
      <c r="AA100" s="13" t="s">
        <v>40</v>
      </c>
      <c r="AB100" s="10">
        <f t="shared" si="4"/>
        <v>7</v>
      </c>
    </row>
    <row r="101" ht="25.5" customHeight="1">
      <c r="A101" s="8">
        <v>45863.4442147338</v>
      </c>
      <c r="B101" s="9">
        <v>100.0</v>
      </c>
      <c r="C101" s="10" t="str">
        <f t="shared" si="1"/>
        <v>MARVIN ROLIM HERPET </v>
      </c>
      <c r="D101" s="9" t="s">
        <v>327</v>
      </c>
      <c r="E101" s="11">
        <v>45481.0</v>
      </c>
      <c r="F101" s="10">
        <f t="shared" si="2"/>
        <v>1</v>
      </c>
      <c r="G101" s="10" t="str">
        <f t="shared" si="3"/>
        <v>julho</v>
      </c>
      <c r="H101" s="14" t="s">
        <v>273</v>
      </c>
      <c r="I101" s="13" t="s">
        <v>29</v>
      </c>
      <c r="J101" s="10"/>
      <c r="K101" s="19"/>
      <c r="L101" s="10"/>
      <c r="M101" s="9" t="s">
        <v>274</v>
      </c>
      <c r="N101" s="9" t="s">
        <v>275</v>
      </c>
      <c r="O101" s="9">
        <v>37.0</v>
      </c>
      <c r="P101" s="9" t="s">
        <v>80</v>
      </c>
      <c r="Q101" s="9" t="s">
        <v>35</v>
      </c>
      <c r="R101" s="9" t="s">
        <v>36</v>
      </c>
      <c r="S101" s="9">
        <v>2.9146653E7</v>
      </c>
      <c r="T101" s="13" t="s">
        <v>37</v>
      </c>
      <c r="U101" s="13" t="s">
        <v>37</v>
      </c>
      <c r="V101" s="13" t="s">
        <v>38</v>
      </c>
      <c r="W101" s="13" t="s">
        <v>37</v>
      </c>
      <c r="X101" s="13" t="s">
        <v>37</v>
      </c>
      <c r="Y101" s="13" t="s">
        <v>39</v>
      </c>
      <c r="Z101" s="13" t="s">
        <v>37</v>
      </c>
      <c r="AA101" s="13" t="s">
        <v>40</v>
      </c>
      <c r="AB101" s="10">
        <f t="shared" si="4"/>
        <v>7</v>
      </c>
    </row>
    <row r="102" ht="25.5" customHeight="1">
      <c r="A102" s="8">
        <v>45657.52366090278</v>
      </c>
      <c r="B102" s="9">
        <v>101.0</v>
      </c>
      <c r="C102" s="10" t="str">
        <f t="shared" si="1"/>
        <v>MATHEUS HENRIQUE DE SOUZA MOREIRA </v>
      </c>
      <c r="D102" s="9" t="s">
        <v>328</v>
      </c>
      <c r="E102" s="11">
        <v>34524.0</v>
      </c>
      <c r="F102" s="10">
        <f t="shared" si="2"/>
        <v>31</v>
      </c>
      <c r="G102" s="10" t="str">
        <f t="shared" si="3"/>
        <v>julho</v>
      </c>
      <c r="H102" s="12">
        <v>2.7992246707E10</v>
      </c>
      <c r="I102" s="13" t="s">
        <v>29</v>
      </c>
      <c r="J102" s="10"/>
      <c r="K102" s="13" t="s">
        <v>49</v>
      </c>
      <c r="L102" s="9" t="s">
        <v>329</v>
      </c>
      <c r="M102" s="10"/>
      <c r="N102" s="9" t="s">
        <v>163</v>
      </c>
      <c r="O102" s="9">
        <v>1035.0</v>
      </c>
      <c r="P102" s="9" t="s">
        <v>164</v>
      </c>
      <c r="Q102" s="9" t="s">
        <v>35</v>
      </c>
      <c r="R102" s="9" t="s">
        <v>36</v>
      </c>
      <c r="S102" s="15">
        <v>2.9141459E7</v>
      </c>
      <c r="T102" s="13" t="s">
        <v>47</v>
      </c>
      <c r="U102" s="13" t="s">
        <v>47</v>
      </c>
      <c r="V102" s="13" t="s">
        <v>38</v>
      </c>
      <c r="W102" s="13" t="s">
        <v>37</v>
      </c>
      <c r="X102" s="13" t="s">
        <v>37</v>
      </c>
      <c r="Y102" s="13" t="s">
        <v>69</v>
      </c>
      <c r="Z102" s="13" t="s">
        <v>37</v>
      </c>
      <c r="AA102" s="13" t="s">
        <v>40</v>
      </c>
      <c r="AB102" s="10">
        <f t="shared" si="4"/>
        <v>7</v>
      </c>
    </row>
    <row r="103" ht="25.5" customHeight="1">
      <c r="A103" s="8">
        <v>45796.44245530093</v>
      </c>
      <c r="B103" s="9">
        <v>102.0</v>
      </c>
      <c r="C103" s="10" t="str">
        <f t="shared" si="1"/>
        <v>MATHEUS SOUZA CRUZ</v>
      </c>
      <c r="D103" s="9" t="s">
        <v>330</v>
      </c>
      <c r="E103" s="11">
        <v>35273.0</v>
      </c>
      <c r="F103" s="10">
        <f t="shared" si="2"/>
        <v>29</v>
      </c>
      <c r="G103" s="10" t="str">
        <f t="shared" si="3"/>
        <v>julho</v>
      </c>
      <c r="H103" s="12">
        <v>2.7981394281E10</v>
      </c>
      <c r="I103" s="13" t="s">
        <v>29</v>
      </c>
      <c r="J103" s="10"/>
      <c r="K103" s="13" t="s">
        <v>49</v>
      </c>
      <c r="L103" s="9" t="s">
        <v>331</v>
      </c>
      <c r="M103" s="10"/>
      <c r="N103" s="9" t="s">
        <v>332</v>
      </c>
      <c r="O103" s="9">
        <v>20.0</v>
      </c>
      <c r="P103" s="9" t="s">
        <v>170</v>
      </c>
      <c r="Q103" s="9" t="s">
        <v>35</v>
      </c>
      <c r="R103" s="9" t="s">
        <v>36</v>
      </c>
      <c r="S103" s="15">
        <v>2.914563E7</v>
      </c>
      <c r="T103" s="13" t="s">
        <v>47</v>
      </c>
      <c r="U103" s="13" t="s">
        <v>37</v>
      </c>
      <c r="V103" s="13" t="s">
        <v>160</v>
      </c>
      <c r="W103" s="13" t="s">
        <v>37</v>
      </c>
      <c r="X103" s="13" t="s">
        <v>37</v>
      </c>
      <c r="Y103" s="13" t="s">
        <v>69</v>
      </c>
      <c r="Z103" s="13" t="s">
        <v>37</v>
      </c>
      <c r="AA103" s="13" t="s">
        <v>40</v>
      </c>
      <c r="AB103" s="10">
        <f t="shared" si="4"/>
        <v>7</v>
      </c>
    </row>
    <row r="104" ht="25.5" customHeight="1">
      <c r="A104" s="8">
        <v>45863.4416752199</v>
      </c>
      <c r="B104" s="9">
        <v>103.0</v>
      </c>
      <c r="C104" s="10" t="str">
        <f t="shared" si="1"/>
        <v>MAYRA DA SILVA ROLIM HERPET</v>
      </c>
      <c r="D104" s="9" t="s">
        <v>333</v>
      </c>
      <c r="E104" s="11">
        <v>35445.0</v>
      </c>
      <c r="F104" s="10">
        <f t="shared" si="2"/>
        <v>28</v>
      </c>
      <c r="G104" s="10" t="str">
        <f t="shared" si="3"/>
        <v>janeiro</v>
      </c>
      <c r="H104" s="14" t="s">
        <v>273</v>
      </c>
      <c r="I104" s="13" t="s">
        <v>42</v>
      </c>
      <c r="J104" s="10"/>
      <c r="K104" s="13" t="s">
        <v>49</v>
      </c>
      <c r="L104" s="9" t="s">
        <v>334</v>
      </c>
      <c r="M104" s="10"/>
      <c r="N104" s="9" t="s">
        <v>335</v>
      </c>
      <c r="O104" s="9">
        <v>37.0</v>
      </c>
      <c r="P104" s="9" t="s">
        <v>80</v>
      </c>
      <c r="Q104" s="9" t="s">
        <v>35</v>
      </c>
      <c r="R104" s="9" t="s">
        <v>36</v>
      </c>
      <c r="S104" s="9">
        <v>2.9146653E7</v>
      </c>
      <c r="T104" s="13" t="s">
        <v>47</v>
      </c>
      <c r="U104" s="13" t="s">
        <v>47</v>
      </c>
      <c r="V104" s="13" t="s">
        <v>38</v>
      </c>
      <c r="W104" s="13" t="s">
        <v>37</v>
      </c>
      <c r="X104" s="13" t="s">
        <v>37</v>
      </c>
      <c r="Y104" s="13" t="s">
        <v>69</v>
      </c>
      <c r="Z104" s="13" t="s">
        <v>37</v>
      </c>
      <c r="AA104" s="13" t="s">
        <v>40</v>
      </c>
      <c r="AB104" s="10">
        <f t="shared" si="4"/>
        <v>1</v>
      </c>
    </row>
    <row r="105" ht="25.5" customHeight="1">
      <c r="A105" s="8">
        <v>45797.863234062504</v>
      </c>
      <c r="B105" s="9">
        <v>104.0</v>
      </c>
      <c r="C105" s="10" t="str">
        <f t="shared" si="1"/>
        <v>MICAELE ROCHA ROSA </v>
      </c>
      <c r="D105" s="9" t="s">
        <v>336</v>
      </c>
      <c r="E105" s="11">
        <v>40078.0</v>
      </c>
      <c r="F105" s="10">
        <f t="shared" si="2"/>
        <v>16</v>
      </c>
      <c r="G105" s="10" t="str">
        <f t="shared" si="3"/>
        <v>setembro</v>
      </c>
      <c r="H105" s="12">
        <v>2.798827664E10</v>
      </c>
      <c r="I105" s="13" t="s">
        <v>42</v>
      </c>
      <c r="J105" s="10"/>
      <c r="K105" s="13" t="s">
        <v>30</v>
      </c>
      <c r="L105" s="10"/>
      <c r="M105" s="9" t="s">
        <v>78</v>
      </c>
      <c r="N105" s="9" t="s">
        <v>79</v>
      </c>
      <c r="O105" s="9">
        <v>34.0</v>
      </c>
      <c r="P105" s="9" t="s">
        <v>80</v>
      </c>
      <c r="Q105" s="9" t="s">
        <v>35</v>
      </c>
      <c r="R105" s="9" t="s">
        <v>36</v>
      </c>
      <c r="S105" s="9">
        <v>2.9146677E7</v>
      </c>
      <c r="T105" s="13" t="s">
        <v>47</v>
      </c>
      <c r="U105" s="13" t="s">
        <v>47</v>
      </c>
      <c r="V105" s="13" t="s">
        <v>38</v>
      </c>
      <c r="W105" s="13" t="s">
        <v>37</v>
      </c>
      <c r="X105" s="13" t="s">
        <v>37</v>
      </c>
      <c r="Y105" s="13" t="s">
        <v>48</v>
      </c>
      <c r="Z105" s="13" t="s">
        <v>37</v>
      </c>
      <c r="AA105" s="13" t="s">
        <v>40</v>
      </c>
      <c r="AB105" s="10">
        <f t="shared" si="4"/>
        <v>9</v>
      </c>
    </row>
    <row r="106" ht="25.5" customHeight="1">
      <c r="A106" s="8">
        <v>45621.867538437495</v>
      </c>
      <c r="B106" s="9">
        <v>105.0</v>
      </c>
      <c r="C106" s="10" t="str">
        <f t="shared" si="1"/>
        <v>MICHELLE CORNÉLIO DE LIMA AZEVEDO</v>
      </c>
      <c r="D106" s="9" t="s">
        <v>233</v>
      </c>
      <c r="E106" s="11">
        <v>31157.0</v>
      </c>
      <c r="F106" s="10">
        <f t="shared" si="2"/>
        <v>40</v>
      </c>
      <c r="G106" s="10" t="str">
        <f t="shared" si="3"/>
        <v>abril</v>
      </c>
      <c r="H106" s="12">
        <v>2.7998965321E10</v>
      </c>
      <c r="I106" s="13" t="s">
        <v>42</v>
      </c>
      <c r="J106" s="10"/>
      <c r="K106" s="13" t="s">
        <v>49</v>
      </c>
      <c r="L106" s="9" t="s">
        <v>142</v>
      </c>
      <c r="M106" s="10"/>
      <c r="N106" s="9" t="s">
        <v>143</v>
      </c>
      <c r="O106" s="9">
        <v>15.0</v>
      </c>
      <c r="P106" s="9" t="s">
        <v>144</v>
      </c>
      <c r="Q106" s="9" t="s">
        <v>76</v>
      </c>
      <c r="R106" s="9" t="s">
        <v>36</v>
      </c>
      <c r="S106" s="15">
        <v>2.913618E7</v>
      </c>
      <c r="T106" s="13" t="s">
        <v>47</v>
      </c>
      <c r="U106" s="13" t="s">
        <v>47</v>
      </c>
      <c r="V106" s="13" t="s">
        <v>38</v>
      </c>
      <c r="W106" s="13" t="s">
        <v>37</v>
      </c>
      <c r="X106" s="13" t="s">
        <v>37</v>
      </c>
      <c r="Y106" s="13" t="s">
        <v>51</v>
      </c>
      <c r="Z106" s="20" t="s">
        <v>37</v>
      </c>
      <c r="AA106" s="13" t="s">
        <v>40</v>
      </c>
      <c r="AB106" s="10">
        <f t="shared" si="4"/>
        <v>4</v>
      </c>
    </row>
    <row r="107" ht="25.5" customHeight="1">
      <c r="A107" s="8">
        <v>45619.512870833336</v>
      </c>
      <c r="B107" s="9">
        <v>106.0</v>
      </c>
      <c r="C107" s="10" t="str">
        <f t="shared" si="1"/>
        <v>MIGUEL WILL MONTEIRO COSTA DIAS </v>
      </c>
      <c r="D107" s="9" t="s">
        <v>337</v>
      </c>
      <c r="E107" s="11">
        <v>41093.0</v>
      </c>
      <c r="F107" s="10">
        <f t="shared" si="2"/>
        <v>13</v>
      </c>
      <c r="G107" s="10" t="str">
        <f t="shared" si="3"/>
        <v>julho</v>
      </c>
      <c r="H107" s="12">
        <v>2.7998361927E10</v>
      </c>
      <c r="I107" s="13" t="s">
        <v>29</v>
      </c>
      <c r="J107" s="10"/>
      <c r="K107" s="13" t="s">
        <v>30</v>
      </c>
      <c r="L107" s="10"/>
      <c r="M107" s="9" t="s">
        <v>177</v>
      </c>
      <c r="N107" s="9" t="s">
        <v>178</v>
      </c>
      <c r="O107" s="9">
        <v>145.0</v>
      </c>
      <c r="P107" s="9" t="s">
        <v>179</v>
      </c>
      <c r="Q107" s="9" t="s">
        <v>35</v>
      </c>
      <c r="R107" s="9" t="s">
        <v>36</v>
      </c>
      <c r="S107" s="15">
        <v>2.9146805E7</v>
      </c>
      <c r="T107" s="13" t="s">
        <v>47</v>
      </c>
      <c r="U107" s="13" t="s">
        <v>47</v>
      </c>
      <c r="V107" s="13" t="s">
        <v>38</v>
      </c>
      <c r="W107" s="13" t="s">
        <v>37</v>
      </c>
      <c r="X107" s="13" t="s">
        <v>37</v>
      </c>
      <c r="Y107" s="13" t="s">
        <v>48</v>
      </c>
      <c r="Z107" s="20" t="s">
        <v>37</v>
      </c>
      <c r="AA107" s="13" t="s">
        <v>40</v>
      </c>
      <c r="AB107" s="10">
        <f t="shared" si="4"/>
        <v>7</v>
      </c>
    </row>
    <row r="108" ht="25.5" customHeight="1">
      <c r="A108" s="8">
        <v>45620.45112268518</v>
      </c>
      <c r="B108" s="9">
        <v>107.0</v>
      </c>
      <c r="C108" s="28" t="str">
        <f t="shared" si="1"/>
        <v>MILENA ALVES NASCIMENTO</v>
      </c>
      <c r="D108" s="34" t="s">
        <v>338</v>
      </c>
      <c r="E108" s="24">
        <v>43572.0</v>
      </c>
      <c r="F108" s="30">
        <f t="shared" si="2"/>
        <v>6</v>
      </c>
      <c r="G108" s="31" t="str">
        <f t="shared" si="3"/>
        <v>abril</v>
      </c>
      <c r="H108" s="26">
        <v>2.7995310232E10</v>
      </c>
      <c r="I108" s="20" t="s">
        <v>42</v>
      </c>
      <c r="J108" s="23" t="s">
        <v>104</v>
      </c>
      <c r="K108" s="32" t="s">
        <v>30</v>
      </c>
      <c r="L108" s="37"/>
      <c r="M108" s="34" t="s">
        <v>105</v>
      </c>
      <c r="N108" s="9" t="s">
        <v>106</v>
      </c>
      <c r="O108" s="23">
        <v>25.0</v>
      </c>
      <c r="P108" s="9" t="s">
        <v>98</v>
      </c>
      <c r="Q108" s="9" t="s">
        <v>35</v>
      </c>
      <c r="R108" s="9" t="s">
        <v>36</v>
      </c>
      <c r="S108" s="15" t="s">
        <v>339</v>
      </c>
      <c r="T108" s="20" t="s">
        <v>37</v>
      </c>
      <c r="U108" s="20" t="s">
        <v>37</v>
      </c>
      <c r="V108" s="20" t="s">
        <v>38</v>
      </c>
      <c r="W108" s="13" t="s">
        <v>37</v>
      </c>
      <c r="X108" s="13" t="s">
        <v>37</v>
      </c>
      <c r="Y108" s="13" t="s">
        <v>39</v>
      </c>
      <c r="Z108" s="20" t="s">
        <v>37</v>
      </c>
      <c r="AA108" s="13" t="s">
        <v>40</v>
      </c>
      <c r="AB108" s="28">
        <f t="shared" si="4"/>
        <v>4</v>
      </c>
    </row>
    <row r="109" ht="25.5" customHeight="1">
      <c r="A109" s="8">
        <v>45619.45112268518</v>
      </c>
      <c r="B109" s="9">
        <v>108.0</v>
      </c>
      <c r="C109" s="28" t="str">
        <f t="shared" si="1"/>
        <v>MIRIA ALVES DA SILVA NASCIMENTO </v>
      </c>
      <c r="D109" s="23" t="s">
        <v>340</v>
      </c>
      <c r="E109" s="24">
        <v>31641.0</v>
      </c>
      <c r="F109" s="30">
        <f t="shared" si="2"/>
        <v>39</v>
      </c>
      <c r="G109" s="31" t="str">
        <f t="shared" si="3"/>
        <v>agosto</v>
      </c>
      <c r="H109" s="26">
        <v>2.7995310232E10</v>
      </c>
      <c r="I109" s="20" t="s">
        <v>42</v>
      </c>
      <c r="J109" s="23" t="s">
        <v>104</v>
      </c>
      <c r="K109" s="32" t="s">
        <v>49</v>
      </c>
      <c r="L109" s="37" t="s">
        <v>341</v>
      </c>
      <c r="M109" s="23"/>
      <c r="N109" s="9" t="s">
        <v>106</v>
      </c>
      <c r="O109" s="23">
        <v>25.0</v>
      </c>
      <c r="P109" s="9" t="s">
        <v>98</v>
      </c>
      <c r="Q109" s="9" t="s">
        <v>35</v>
      </c>
      <c r="R109" s="9" t="s">
        <v>36</v>
      </c>
      <c r="S109" s="15" t="s">
        <v>342</v>
      </c>
      <c r="T109" s="20" t="s">
        <v>47</v>
      </c>
      <c r="U109" s="13" t="s">
        <v>47</v>
      </c>
      <c r="V109" s="20" t="s">
        <v>38</v>
      </c>
      <c r="W109" s="13" t="s">
        <v>37</v>
      </c>
      <c r="X109" s="13" t="s">
        <v>37</v>
      </c>
      <c r="Y109" s="13" t="s">
        <v>51</v>
      </c>
      <c r="Z109" s="20" t="s">
        <v>37</v>
      </c>
      <c r="AA109" s="13" t="s">
        <v>40</v>
      </c>
      <c r="AB109" s="28">
        <f t="shared" si="4"/>
        <v>8</v>
      </c>
    </row>
    <row r="110" ht="25.5" customHeight="1">
      <c r="A110" s="8">
        <v>45914.92771962963</v>
      </c>
      <c r="B110" s="9">
        <v>109.0</v>
      </c>
      <c r="C110" s="10" t="str">
        <f t="shared" si="1"/>
        <v>MIRIAM DA ROCHA PINA </v>
      </c>
      <c r="D110" s="9" t="s">
        <v>343</v>
      </c>
      <c r="E110" s="11">
        <v>32423.0</v>
      </c>
      <c r="F110" s="10">
        <f t="shared" si="2"/>
        <v>37</v>
      </c>
      <c r="G110" s="10" t="str">
        <f t="shared" si="3"/>
        <v>outubro</v>
      </c>
      <c r="H110" s="9">
        <v>2.7996268387E10</v>
      </c>
      <c r="I110" s="13" t="s">
        <v>42</v>
      </c>
      <c r="J110" s="10"/>
      <c r="K110" s="13" t="s">
        <v>49</v>
      </c>
      <c r="L110" s="9" t="s">
        <v>344</v>
      </c>
      <c r="M110" s="9" t="s">
        <v>345</v>
      </c>
      <c r="N110" s="9" t="s">
        <v>239</v>
      </c>
      <c r="O110" s="9">
        <v>230.0</v>
      </c>
      <c r="P110" s="9" t="s">
        <v>136</v>
      </c>
      <c r="Q110" s="9" t="s">
        <v>35</v>
      </c>
      <c r="R110" s="9" t="s">
        <v>36</v>
      </c>
      <c r="S110" s="9">
        <v>2.9149771E7</v>
      </c>
      <c r="T110" s="13" t="s">
        <v>37</v>
      </c>
      <c r="U110" s="13" t="s">
        <v>37</v>
      </c>
      <c r="V110" s="13" t="s">
        <v>38</v>
      </c>
      <c r="W110" s="13" t="s">
        <v>37</v>
      </c>
      <c r="X110" s="13" t="s">
        <v>37</v>
      </c>
      <c r="Y110" s="13" t="s">
        <v>51</v>
      </c>
      <c r="Z110" s="13" t="s">
        <v>37</v>
      </c>
      <c r="AA110" s="13" t="s">
        <v>40</v>
      </c>
      <c r="AB110" s="10">
        <f t="shared" si="4"/>
        <v>10</v>
      </c>
    </row>
    <row r="111" ht="25.5" customHeight="1">
      <c r="A111" s="8">
        <v>45621.80356875</v>
      </c>
      <c r="B111" s="9">
        <v>110.0</v>
      </c>
      <c r="C111" s="10" t="str">
        <f t="shared" si="1"/>
        <v>NATHAN RONQUETTI LIMA</v>
      </c>
      <c r="D111" s="9" t="s">
        <v>346</v>
      </c>
      <c r="E111" s="11">
        <v>44992.0</v>
      </c>
      <c r="F111" s="10">
        <f t="shared" si="2"/>
        <v>2</v>
      </c>
      <c r="G111" s="10" t="str">
        <f t="shared" si="3"/>
        <v>março</v>
      </c>
      <c r="H111" s="12">
        <v>2.7997629765E10</v>
      </c>
      <c r="I111" s="13" t="s">
        <v>29</v>
      </c>
      <c r="J111" s="10"/>
      <c r="K111" s="13" t="s">
        <v>30</v>
      </c>
      <c r="L111" s="10"/>
      <c r="M111" s="9" t="s">
        <v>71</v>
      </c>
      <c r="N111" s="9" t="s">
        <v>73</v>
      </c>
      <c r="O111" s="14" t="s">
        <v>74</v>
      </c>
      <c r="P111" s="9" t="s">
        <v>75</v>
      </c>
      <c r="Q111" s="9" t="s">
        <v>76</v>
      </c>
      <c r="R111" s="9" t="s">
        <v>36</v>
      </c>
      <c r="S111" s="15">
        <v>2.9138445E7</v>
      </c>
      <c r="T111" s="13" t="s">
        <v>37</v>
      </c>
      <c r="U111" s="20" t="s">
        <v>37</v>
      </c>
      <c r="V111" s="13" t="s">
        <v>38</v>
      </c>
      <c r="W111" s="13" t="s">
        <v>37</v>
      </c>
      <c r="X111" s="13" t="s">
        <v>37</v>
      </c>
      <c r="Y111" s="13" t="s">
        <v>39</v>
      </c>
      <c r="Z111" s="20" t="s">
        <v>37</v>
      </c>
      <c r="AA111" s="13" t="s">
        <v>40</v>
      </c>
      <c r="AB111" s="10">
        <f t="shared" si="4"/>
        <v>3</v>
      </c>
    </row>
    <row r="112" ht="25.5" customHeight="1">
      <c r="A112" s="8">
        <v>45623.641746284724</v>
      </c>
      <c r="B112" s="9">
        <v>111.0</v>
      </c>
      <c r="C112" s="10" t="str">
        <f t="shared" si="1"/>
        <v>NEUDIMAR DE OLIVEIRA MOTA</v>
      </c>
      <c r="D112" s="9" t="s">
        <v>228</v>
      </c>
      <c r="E112" s="11">
        <v>26884.0</v>
      </c>
      <c r="F112" s="10">
        <f t="shared" si="2"/>
        <v>52</v>
      </c>
      <c r="G112" s="10" t="str">
        <f t="shared" si="3"/>
        <v>agosto</v>
      </c>
      <c r="H112" s="12">
        <v>2.799907324E10</v>
      </c>
      <c r="I112" s="13" t="s">
        <v>42</v>
      </c>
      <c r="J112" s="10"/>
      <c r="K112" s="13" t="s">
        <v>49</v>
      </c>
      <c r="L112" s="9" t="s">
        <v>347</v>
      </c>
      <c r="M112" s="10"/>
      <c r="N112" s="9" t="s">
        <v>229</v>
      </c>
      <c r="O112" s="9">
        <v>52.0</v>
      </c>
      <c r="P112" s="9" t="s">
        <v>230</v>
      </c>
      <c r="Q112" s="9" t="s">
        <v>76</v>
      </c>
      <c r="R112" s="9" t="s">
        <v>36</v>
      </c>
      <c r="S112" s="15">
        <v>2.9134513E7</v>
      </c>
      <c r="T112" s="13" t="s">
        <v>47</v>
      </c>
      <c r="U112" s="13" t="s">
        <v>47</v>
      </c>
      <c r="V112" s="13" t="s">
        <v>38</v>
      </c>
      <c r="W112" s="13" t="s">
        <v>37</v>
      </c>
      <c r="X112" s="13" t="s">
        <v>37</v>
      </c>
      <c r="Y112" s="13" t="s">
        <v>51</v>
      </c>
      <c r="Z112" s="20" t="s">
        <v>37</v>
      </c>
      <c r="AA112" s="13" t="s">
        <v>40</v>
      </c>
      <c r="AB112" s="10">
        <f t="shared" si="4"/>
        <v>8</v>
      </c>
    </row>
    <row r="113" ht="25.5" customHeight="1">
      <c r="A113" s="8">
        <v>45615.605603344906</v>
      </c>
      <c r="B113" s="9">
        <v>112.0</v>
      </c>
      <c r="C113" s="28" t="str">
        <f t="shared" si="1"/>
        <v>NILSON FRAGA CELESTINO </v>
      </c>
      <c r="D113" s="23" t="s">
        <v>348</v>
      </c>
      <c r="E113" s="24">
        <v>26840.0</v>
      </c>
      <c r="F113" s="30">
        <f t="shared" si="2"/>
        <v>52</v>
      </c>
      <c r="G113" s="31" t="str">
        <f t="shared" si="3"/>
        <v>junho</v>
      </c>
      <c r="H113" s="12">
        <v>2.7997723358E10</v>
      </c>
      <c r="I113" s="20" t="s">
        <v>29</v>
      </c>
      <c r="J113" s="10"/>
      <c r="K113" s="20" t="s">
        <v>49</v>
      </c>
      <c r="L113" s="9" t="s">
        <v>349</v>
      </c>
      <c r="M113" s="28"/>
      <c r="N113" s="9" t="s">
        <v>350</v>
      </c>
      <c r="O113" s="9">
        <v>249.0</v>
      </c>
      <c r="P113" s="9" t="s">
        <v>351</v>
      </c>
      <c r="Q113" s="9" t="s">
        <v>352</v>
      </c>
      <c r="R113" s="9" t="s">
        <v>36</v>
      </c>
      <c r="S113" s="15">
        <v>2.904804E7</v>
      </c>
      <c r="T113" s="20" t="s">
        <v>47</v>
      </c>
      <c r="U113" s="13" t="s">
        <v>37</v>
      </c>
      <c r="V113" s="20" t="s">
        <v>160</v>
      </c>
      <c r="W113" s="20" t="s">
        <v>37</v>
      </c>
      <c r="X113" s="13" t="s">
        <v>37</v>
      </c>
      <c r="Y113" s="20" t="s">
        <v>51</v>
      </c>
      <c r="Z113" s="20" t="s">
        <v>37</v>
      </c>
      <c r="AA113" s="13" t="s">
        <v>40</v>
      </c>
      <c r="AB113" s="28">
        <f t="shared" si="4"/>
        <v>6</v>
      </c>
    </row>
    <row r="114" ht="25.5" customHeight="1">
      <c r="A114" s="8">
        <v>45616.672678981486</v>
      </c>
      <c r="B114" s="9">
        <v>113.0</v>
      </c>
      <c r="C114" s="9" t="str">
        <f t="shared" si="1"/>
        <v>ODAIR ARANTES ALVES - FALECIDO</v>
      </c>
      <c r="D114" s="9" t="s">
        <v>353</v>
      </c>
      <c r="E114" s="11">
        <v>26292.0</v>
      </c>
      <c r="F114" s="16">
        <f t="shared" si="2"/>
        <v>53</v>
      </c>
      <c r="G114" s="10" t="str">
        <f t="shared" si="3"/>
        <v>dezembro</v>
      </c>
      <c r="H114" s="12">
        <v>2.7992589813E10</v>
      </c>
      <c r="I114" s="13" t="s">
        <v>29</v>
      </c>
      <c r="J114" s="34" t="s">
        <v>354</v>
      </c>
      <c r="K114" s="13" t="s">
        <v>49</v>
      </c>
      <c r="L114" s="9" t="s">
        <v>319</v>
      </c>
      <c r="M114" s="10"/>
      <c r="N114" s="9" t="s">
        <v>153</v>
      </c>
      <c r="O114" s="9">
        <v>311.0</v>
      </c>
      <c r="P114" s="9" t="s">
        <v>355</v>
      </c>
      <c r="Q114" s="9" t="s">
        <v>35</v>
      </c>
      <c r="R114" s="9" t="s">
        <v>36</v>
      </c>
      <c r="S114" s="15">
        <v>2.9144375E7</v>
      </c>
      <c r="T114" s="13" t="s">
        <v>47</v>
      </c>
      <c r="U114" s="13" t="s">
        <v>37</v>
      </c>
      <c r="V114" s="13" t="s">
        <v>160</v>
      </c>
      <c r="W114" s="13" t="s">
        <v>37</v>
      </c>
      <c r="X114" s="13" t="s">
        <v>37</v>
      </c>
      <c r="Y114" s="13" t="s">
        <v>51</v>
      </c>
      <c r="Z114" s="20" t="s">
        <v>37</v>
      </c>
      <c r="AA114" s="13" t="s">
        <v>40</v>
      </c>
      <c r="AB114" s="28">
        <f t="shared" si="4"/>
        <v>12</v>
      </c>
    </row>
    <row r="115" ht="25.5" customHeight="1">
      <c r="A115" s="8">
        <v>45618.50549675926</v>
      </c>
      <c r="B115" s="9">
        <v>114.0</v>
      </c>
      <c r="C115" s="10" t="str">
        <f t="shared" si="1"/>
        <v>PEDRO MARCOS ROLIM </v>
      </c>
      <c r="D115" s="9" t="s">
        <v>356</v>
      </c>
      <c r="E115" s="11">
        <v>24839.0</v>
      </c>
      <c r="F115" s="10">
        <f t="shared" si="2"/>
        <v>57</v>
      </c>
      <c r="G115" s="10" t="str">
        <f t="shared" si="3"/>
        <v>janeiro</v>
      </c>
      <c r="H115" s="12">
        <v>2.7998638921E10</v>
      </c>
      <c r="I115" s="13" t="s">
        <v>29</v>
      </c>
      <c r="J115" s="10"/>
      <c r="K115" s="13" t="s">
        <v>49</v>
      </c>
      <c r="L115" s="9" t="s">
        <v>357</v>
      </c>
      <c r="M115" s="10"/>
      <c r="N115" s="9" t="s">
        <v>326</v>
      </c>
      <c r="O115" s="9">
        <v>37.0</v>
      </c>
      <c r="P115" s="9" t="s">
        <v>98</v>
      </c>
      <c r="Q115" s="9" t="s">
        <v>35</v>
      </c>
      <c r="R115" s="9" t="s">
        <v>36</v>
      </c>
      <c r="S115" s="15">
        <v>2.9146653E7</v>
      </c>
      <c r="T115" s="13" t="s">
        <v>47</v>
      </c>
      <c r="U115" s="13" t="s">
        <v>47</v>
      </c>
      <c r="V115" s="13" t="s">
        <v>38</v>
      </c>
      <c r="W115" s="13" t="s">
        <v>47</v>
      </c>
      <c r="X115" s="13" t="s">
        <v>37</v>
      </c>
      <c r="Y115" s="13" t="s">
        <v>51</v>
      </c>
      <c r="Z115" s="20" t="s">
        <v>37</v>
      </c>
      <c r="AA115" s="13" t="s">
        <v>40</v>
      </c>
      <c r="AB115" s="10">
        <f t="shared" si="4"/>
        <v>1</v>
      </c>
    </row>
    <row r="116" ht="25.5" customHeight="1">
      <c r="A116" s="8">
        <v>45615.597886250005</v>
      </c>
      <c r="B116" s="9">
        <v>115.0</v>
      </c>
      <c r="C116" s="9" t="str">
        <f t="shared" si="1"/>
        <v>PEDRO TOREZANI FERREIRA </v>
      </c>
      <c r="D116" s="9" t="s">
        <v>358</v>
      </c>
      <c r="E116" s="11">
        <v>42158.0</v>
      </c>
      <c r="F116" s="16">
        <f t="shared" si="2"/>
        <v>10</v>
      </c>
      <c r="G116" s="10" t="str">
        <f t="shared" si="3"/>
        <v>junho</v>
      </c>
      <c r="H116" s="12">
        <v>2.7998772135E10</v>
      </c>
      <c r="I116" s="13" t="s">
        <v>29</v>
      </c>
      <c r="J116" s="10"/>
      <c r="K116" s="13" t="s">
        <v>30</v>
      </c>
      <c r="L116" s="10"/>
      <c r="M116" s="9" t="s">
        <v>182</v>
      </c>
      <c r="N116" s="9" t="s">
        <v>184</v>
      </c>
      <c r="O116" s="9">
        <v>255.0</v>
      </c>
      <c r="P116" s="9" t="s">
        <v>185</v>
      </c>
      <c r="Q116" s="9" t="s">
        <v>35</v>
      </c>
      <c r="R116" s="9" t="s">
        <v>36</v>
      </c>
      <c r="S116" s="15">
        <v>2.914343E7</v>
      </c>
      <c r="T116" s="13" t="s">
        <v>37</v>
      </c>
      <c r="U116" s="20" t="s">
        <v>37</v>
      </c>
      <c r="V116" s="13" t="s">
        <v>38</v>
      </c>
      <c r="W116" s="13" t="s">
        <v>37</v>
      </c>
      <c r="X116" s="13" t="s">
        <v>37</v>
      </c>
      <c r="Y116" s="13" t="s">
        <v>85</v>
      </c>
      <c r="Z116" s="20" t="s">
        <v>37</v>
      </c>
      <c r="AA116" s="13" t="s">
        <v>40</v>
      </c>
      <c r="AB116" s="18">
        <f t="shared" si="4"/>
        <v>6</v>
      </c>
    </row>
    <row r="117" ht="25.5" customHeight="1">
      <c r="A117" s="8">
        <v>45620.4039475926</v>
      </c>
      <c r="B117" s="9">
        <v>116.0</v>
      </c>
      <c r="C117" s="10" t="str">
        <f t="shared" si="1"/>
        <v>PROTAZIO REZENDE CARVALHO </v>
      </c>
      <c r="D117" s="9" t="s">
        <v>359</v>
      </c>
      <c r="E117" s="11">
        <v>34630.0</v>
      </c>
      <c r="F117" s="10">
        <f t="shared" si="2"/>
        <v>31</v>
      </c>
      <c r="G117" s="10" t="str">
        <f t="shared" si="3"/>
        <v>outubro</v>
      </c>
      <c r="H117" s="12">
        <v>2.7988162828E10</v>
      </c>
      <c r="I117" s="13" t="s">
        <v>29</v>
      </c>
      <c r="J117" s="10"/>
      <c r="K117" s="13" t="s">
        <v>49</v>
      </c>
      <c r="L117" s="9" t="s">
        <v>360</v>
      </c>
      <c r="M117" s="10"/>
      <c r="N117" s="9" t="s">
        <v>361</v>
      </c>
      <c r="O117" s="9">
        <v>66.0</v>
      </c>
      <c r="P117" s="9" t="s">
        <v>362</v>
      </c>
      <c r="Q117" s="9" t="s">
        <v>76</v>
      </c>
      <c r="R117" s="9" t="s">
        <v>36</v>
      </c>
      <c r="S117" s="15">
        <v>2.9138189E7</v>
      </c>
      <c r="T117" s="13" t="s">
        <v>47</v>
      </c>
      <c r="U117" s="13" t="s">
        <v>47</v>
      </c>
      <c r="V117" s="13" t="s">
        <v>38</v>
      </c>
      <c r="W117" s="13" t="s">
        <v>37</v>
      </c>
      <c r="X117" s="13" t="s">
        <v>37</v>
      </c>
      <c r="Y117" s="13" t="s">
        <v>69</v>
      </c>
      <c r="Z117" s="20" t="s">
        <v>37</v>
      </c>
      <c r="AA117" s="13" t="s">
        <v>40</v>
      </c>
      <c r="AB117" s="10">
        <f t="shared" si="4"/>
        <v>10</v>
      </c>
    </row>
    <row r="118" ht="25.5" customHeight="1">
      <c r="A118" s="8">
        <v>45617.429329652776</v>
      </c>
      <c r="B118" s="9">
        <v>117.0</v>
      </c>
      <c r="C118" s="9" t="str">
        <f t="shared" si="1"/>
        <v>RAFAELLA PEREIRA SOARES</v>
      </c>
      <c r="D118" s="9" t="s">
        <v>363</v>
      </c>
      <c r="E118" s="11">
        <v>32684.0</v>
      </c>
      <c r="F118" s="16">
        <f t="shared" si="2"/>
        <v>36</v>
      </c>
      <c r="G118" s="10" t="str">
        <f t="shared" si="3"/>
        <v>junho</v>
      </c>
      <c r="H118" s="12">
        <v>2.7995239761E10</v>
      </c>
      <c r="I118" s="13" t="s">
        <v>42</v>
      </c>
      <c r="J118" s="9"/>
      <c r="K118" s="13" t="s">
        <v>49</v>
      </c>
      <c r="L118" s="9" t="s">
        <v>364</v>
      </c>
      <c r="M118" s="10"/>
      <c r="N118" s="9" t="s">
        <v>261</v>
      </c>
      <c r="O118" s="9">
        <v>42.0</v>
      </c>
      <c r="P118" s="9" t="s">
        <v>90</v>
      </c>
      <c r="Q118" s="9" t="s">
        <v>35</v>
      </c>
      <c r="R118" s="9" t="s">
        <v>36</v>
      </c>
      <c r="S118" s="15">
        <v>2.9144766E7</v>
      </c>
      <c r="T118" s="13" t="s">
        <v>47</v>
      </c>
      <c r="U118" s="13" t="s">
        <v>47</v>
      </c>
      <c r="V118" s="13" t="s">
        <v>38</v>
      </c>
      <c r="W118" s="13" t="s">
        <v>37</v>
      </c>
      <c r="X118" s="13" t="s">
        <v>37</v>
      </c>
      <c r="Y118" s="13" t="s">
        <v>51</v>
      </c>
      <c r="Z118" s="20" t="s">
        <v>37</v>
      </c>
      <c r="AA118" s="13" t="s">
        <v>40</v>
      </c>
      <c r="AB118" s="10">
        <f t="shared" si="4"/>
        <v>6</v>
      </c>
    </row>
    <row r="119" ht="25.5" customHeight="1">
      <c r="A119" s="8">
        <v>45620.472676550926</v>
      </c>
      <c r="B119" s="9">
        <v>118.0</v>
      </c>
      <c r="C119" s="10" t="str">
        <f t="shared" si="1"/>
        <v>RAQUEL LIMA DOS SANTOS </v>
      </c>
      <c r="D119" s="9" t="s">
        <v>365</v>
      </c>
      <c r="E119" s="11">
        <v>35840.0</v>
      </c>
      <c r="F119" s="10">
        <f t="shared" si="2"/>
        <v>27</v>
      </c>
      <c r="G119" s="10" t="str">
        <f t="shared" si="3"/>
        <v>fevereiro</v>
      </c>
      <c r="H119" s="12">
        <v>2.7988824139E10</v>
      </c>
      <c r="I119" s="13" t="s">
        <v>42</v>
      </c>
      <c r="J119" s="10"/>
      <c r="K119" s="13" t="s">
        <v>30</v>
      </c>
      <c r="L119" s="10"/>
      <c r="M119" s="10"/>
      <c r="N119" s="9" t="s">
        <v>366</v>
      </c>
      <c r="O119" s="9">
        <v>43.0</v>
      </c>
      <c r="P119" s="9" t="s">
        <v>307</v>
      </c>
      <c r="Q119" s="9" t="s">
        <v>35</v>
      </c>
      <c r="R119" s="9" t="s">
        <v>36</v>
      </c>
      <c r="S119" s="15">
        <v>2.9144306E7</v>
      </c>
      <c r="T119" s="13" t="s">
        <v>47</v>
      </c>
      <c r="U119" s="13" t="s">
        <v>47</v>
      </c>
      <c r="V119" s="13" t="s">
        <v>38</v>
      </c>
      <c r="W119" s="13" t="s">
        <v>37</v>
      </c>
      <c r="X119" s="13" t="s">
        <v>37</v>
      </c>
      <c r="Y119" s="13" t="s">
        <v>69</v>
      </c>
      <c r="Z119" s="20" t="s">
        <v>37</v>
      </c>
      <c r="AA119" s="13" t="s">
        <v>40</v>
      </c>
      <c r="AB119" s="10">
        <f t="shared" si="4"/>
        <v>2</v>
      </c>
    </row>
    <row r="120" ht="25.5" customHeight="1">
      <c r="A120" s="8">
        <v>45614.50370244213</v>
      </c>
      <c r="B120" s="9">
        <v>119.0</v>
      </c>
      <c r="C120" s="9" t="str">
        <f t="shared" si="1"/>
        <v>REBECA ARANTES ALVES PRESENZA </v>
      </c>
      <c r="D120" s="9" t="s">
        <v>87</v>
      </c>
      <c r="E120" s="11">
        <v>36253.0</v>
      </c>
      <c r="F120" s="21">
        <f t="shared" si="2"/>
        <v>26</v>
      </c>
      <c r="G120" s="17" t="str">
        <f t="shared" si="3"/>
        <v>abril</v>
      </c>
      <c r="H120" s="12">
        <v>2.799887675E10</v>
      </c>
      <c r="I120" s="13" t="s">
        <v>42</v>
      </c>
      <c r="J120" s="9"/>
      <c r="K120" s="13" t="s">
        <v>49</v>
      </c>
      <c r="L120" s="9" t="s">
        <v>367</v>
      </c>
      <c r="M120" s="10"/>
      <c r="N120" s="9" t="s">
        <v>88</v>
      </c>
      <c r="O120" s="9" t="s">
        <v>89</v>
      </c>
      <c r="P120" s="9" t="s">
        <v>90</v>
      </c>
      <c r="Q120" s="9" t="s">
        <v>35</v>
      </c>
      <c r="R120" s="9" t="s">
        <v>36</v>
      </c>
      <c r="S120" s="15">
        <v>2.9144766E7</v>
      </c>
      <c r="T120" s="13" t="s">
        <v>47</v>
      </c>
      <c r="U120" s="13" t="s">
        <v>47</v>
      </c>
      <c r="V120" s="13" t="s">
        <v>38</v>
      </c>
      <c r="W120" s="13" t="s">
        <v>37</v>
      </c>
      <c r="X120" s="13" t="s">
        <v>37</v>
      </c>
      <c r="Y120" s="13" t="s">
        <v>69</v>
      </c>
      <c r="Z120" s="20" t="s">
        <v>37</v>
      </c>
      <c r="AA120" s="13" t="s">
        <v>40</v>
      </c>
      <c r="AB120" s="18">
        <f t="shared" si="4"/>
        <v>4</v>
      </c>
    </row>
    <row r="121" ht="25.5" customHeight="1">
      <c r="A121" s="8">
        <v>45701.66811666667</v>
      </c>
      <c r="B121" s="9">
        <v>120.0</v>
      </c>
      <c r="C121" s="10" t="str">
        <f t="shared" si="1"/>
        <v>REGINA CÉLIA MARTINS BASTOS E CRUZ</v>
      </c>
      <c r="D121" s="9" t="s">
        <v>368</v>
      </c>
      <c r="E121" s="11">
        <v>22950.0</v>
      </c>
      <c r="F121" s="10">
        <f t="shared" si="2"/>
        <v>63</v>
      </c>
      <c r="G121" s="10" t="str">
        <f t="shared" si="3"/>
        <v>outubro</v>
      </c>
      <c r="H121" s="12">
        <v>2.7998060509E10</v>
      </c>
      <c r="I121" s="13" t="s">
        <v>42</v>
      </c>
      <c r="J121" s="9" t="s">
        <v>369</v>
      </c>
      <c r="K121" s="13" t="s">
        <v>370</v>
      </c>
      <c r="L121" s="10"/>
      <c r="M121" s="10"/>
      <c r="N121" s="9" t="s">
        <v>371</v>
      </c>
      <c r="O121" s="9">
        <v>9.0</v>
      </c>
      <c r="P121" s="9" t="s">
        <v>121</v>
      </c>
      <c r="Q121" s="9" t="s">
        <v>35</v>
      </c>
      <c r="R121" s="9" t="s">
        <v>36</v>
      </c>
      <c r="S121" s="15">
        <v>2.9146835E7</v>
      </c>
      <c r="T121" s="13" t="s">
        <v>47</v>
      </c>
      <c r="U121" s="13" t="s">
        <v>47</v>
      </c>
      <c r="V121" s="13" t="s">
        <v>38</v>
      </c>
      <c r="W121" s="13" t="s">
        <v>37</v>
      </c>
      <c r="X121" s="13" t="s">
        <v>37</v>
      </c>
      <c r="Y121" s="13" t="s">
        <v>65</v>
      </c>
      <c r="Z121" s="20" t="s">
        <v>37</v>
      </c>
      <c r="AA121" s="13" t="s">
        <v>40</v>
      </c>
      <c r="AB121" s="10">
        <f t="shared" si="4"/>
        <v>10</v>
      </c>
    </row>
    <row r="122" ht="25.5" customHeight="1">
      <c r="A122" s="8">
        <v>45614.51479732639</v>
      </c>
      <c r="B122" s="9">
        <v>121.0</v>
      </c>
      <c r="C122" s="9" t="str">
        <f t="shared" si="1"/>
        <v>RICHARDISON SILVA LOPES </v>
      </c>
      <c r="D122" s="9" t="s">
        <v>372</v>
      </c>
      <c r="E122" s="11">
        <v>35163.0</v>
      </c>
      <c r="F122" s="21">
        <f t="shared" si="2"/>
        <v>29</v>
      </c>
      <c r="G122" s="17" t="str">
        <f t="shared" si="3"/>
        <v>abril</v>
      </c>
      <c r="H122" s="12">
        <v>2.7997737276E10</v>
      </c>
      <c r="I122" s="13" t="s">
        <v>29</v>
      </c>
      <c r="J122" s="9"/>
      <c r="K122" s="13" t="s">
        <v>49</v>
      </c>
      <c r="L122" s="9" t="s">
        <v>265</v>
      </c>
      <c r="M122" s="10"/>
      <c r="N122" s="9" t="s">
        <v>267</v>
      </c>
      <c r="O122" s="9">
        <v>35.0</v>
      </c>
      <c r="P122" s="9" t="s">
        <v>268</v>
      </c>
      <c r="Q122" s="9" t="s">
        <v>35</v>
      </c>
      <c r="R122" s="9" t="s">
        <v>36</v>
      </c>
      <c r="S122" s="15">
        <v>2.9143666E7</v>
      </c>
      <c r="T122" s="13" t="s">
        <v>47</v>
      </c>
      <c r="U122" s="13" t="s">
        <v>47</v>
      </c>
      <c r="V122" s="13" t="s">
        <v>38</v>
      </c>
      <c r="W122" s="13" t="s">
        <v>47</v>
      </c>
      <c r="X122" s="13" t="s">
        <v>47</v>
      </c>
      <c r="Y122" s="13" t="s">
        <v>69</v>
      </c>
      <c r="Z122" s="20" t="s">
        <v>37</v>
      </c>
      <c r="AA122" s="13" t="s">
        <v>40</v>
      </c>
      <c r="AB122" s="18">
        <f t="shared" si="4"/>
        <v>4</v>
      </c>
    </row>
    <row r="123" ht="25.5" customHeight="1">
      <c r="A123" s="8">
        <v>45614.522634305555</v>
      </c>
      <c r="B123" s="9">
        <v>122.0</v>
      </c>
      <c r="C123" s="9" t="str">
        <f t="shared" si="1"/>
        <v>RINA MENDONÇA GOMES - FALECIDA</v>
      </c>
      <c r="D123" s="9" t="s">
        <v>373</v>
      </c>
      <c r="E123" s="11">
        <v>28117.0</v>
      </c>
      <c r="F123" s="21">
        <f t="shared" si="2"/>
        <v>48</v>
      </c>
      <c r="G123" s="17" t="str">
        <f t="shared" si="3"/>
        <v>dezembro</v>
      </c>
      <c r="H123" s="12">
        <v>2.7998590201E10</v>
      </c>
      <c r="I123" s="13" t="s">
        <v>42</v>
      </c>
      <c r="J123" s="9" t="s">
        <v>374</v>
      </c>
      <c r="K123" s="13" t="s">
        <v>49</v>
      </c>
      <c r="L123" s="9" t="s">
        <v>375</v>
      </c>
      <c r="M123" s="10"/>
      <c r="N123" s="9" t="s">
        <v>312</v>
      </c>
      <c r="O123" s="9">
        <v>100.0</v>
      </c>
      <c r="P123" s="9" t="s">
        <v>313</v>
      </c>
      <c r="Q123" s="9" t="s">
        <v>35</v>
      </c>
      <c r="R123" s="9" t="s">
        <v>36</v>
      </c>
      <c r="S123" s="15" t="s">
        <v>314</v>
      </c>
      <c r="T123" s="13" t="s">
        <v>47</v>
      </c>
      <c r="U123" s="13" t="s">
        <v>37</v>
      </c>
      <c r="V123" s="13" t="s">
        <v>160</v>
      </c>
      <c r="W123" s="13" t="s">
        <v>37</v>
      </c>
      <c r="X123" s="13" t="s">
        <v>37</v>
      </c>
      <c r="Y123" s="13" t="s">
        <v>51</v>
      </c>
      <c r="Z123" s="20" t="s">
        <v>37</v>
      </c>
      <c r="AA123" s="13" t="s">
        <v>40</v>
      </c>
      <c r="AB123" s="18">
        <f t="shared" si="4"/>
        <v>12</v>
      </c>
    </row>
    <row r="124">
      <c r="A124" s="8">
        <v>45624.88337114583</v>
      </c>
      <c r="B124" s="9">
        <v>123.0</v>
      </c>
      <c r="C124" s="10" t="str">
        <f t="shared" si="1"/>
        <v>RITA DE CASSIA RODRIGUES DE PAULA </v>
      </c>
      <c r="D124" s="9" t="s">
        <v>376</v>
      </c>
      <c r="E124" s="11">
        <v>22018.0</v>
      </c>
      <c r="F124" s="10">
        <f t="shared" si="2"/>
        <v>65</v>
      </c>
      <c r="G124" s="10" t="str">
        <f t="shared" si="3"/>
        <v>abril</v>
      </c>
      <c r="H124" s="12">
        <v>2.7999280162E10</v>
      </c>
      <c r="I124" s="13" t="s">
        <v>42</v>
      </c>
      <c r="J124" s="34" t="s">
        <v>216</v>
      </c>
      <c r="K124" s="13" t="s">
        <v>370</v>
      </c>
      <c r="L124" s="9"/>
      <c r="M124" s="10"/>
      <c r="N124" s="9" t="s">
        <v>377</v>
      </c>
      <c r="O124" s="9">
        <v>93.0</v>
      </c>
      <c r="P124" s="9" t="s">
        <v>378</v>
      </c>
      <c r="Q124" s="9" t="s">
        <v>352</v>
      </c>
      <c r="R124" s="9" t="s">
        <v>36</v>
      </c>
      <c r="S124" s="35"/>
      <c r="T124" s="13" t="s">
        <v>47</v>
      </c>
      <c r="U124" s="13" t="s">
        <v>47</v>
      </c>
      <c r="V124" s="13" t="s">
        <v>38</v>
      </c>
      <c r="W124" s="13" t="s">
        <v>37</v>
      </c>
      <c r="X124" s="13" t="s">
        <v>37</v>
      </c>
      <c r="Y124" s="13" t="s">
        <v>65</v>
      </c>
      <c r="Z124" s="20" t="s">
        <v>37</v>
      </c>
      <c r="AA124" s="13" t="s">
        <v>40</v>
      </c>
      <c r="AB124" s="10">
        <f t="shared" si="4"/>
        <v>4</v>
      </c>
    </row>
    <row r="125">
      <c r="A125" s="8">
        <v>45630.810346909726</v>
      </c>
      <c r="B125" s="9">
        <v>124.0</v>
      </c>
      <c r="C125" s="10" t="str">
        <f t="shared" si="1"/>
        <v>ROBERTA ITA RABI</v>
      </c>
      <c r="D125" s="9" t="s">
        <v>379</v>
      </c>
      <c r="E125" s="11">
        <v>28732.0</v>
      </c>
      <c r="F125" s="10">
        <f t="shared" si="2"/>
        <v>47</v>
      </c>
      <c r="G125" s="10" t="str">
        <f t="shared" si="3"/>
        <v>agosto</v>
      </c>
      <c r="H125" s="12">
        <v>2.798871338E10</v>
      </c>
      <c r="I125" s="13" t="s">
        <v>42</v>
      </c>
      <c r="J125" s="10"/>
      <c r="K125" s="19"/>
      <c r="L125" s="10"/>
      <c r="M125" s="10"/>
      <c r="N125" s="9" t="s">
        <v>380</v>
      </c>
      <c r="O125" s="9" t="s">
        <v>381</v>
      </c>
      <c r="P125" s="9" t="s">
        <v>230</v>
      </c>
      <c r="Q125" s="9" t="s">
        <v>76</v>
      </c>
      <c r="R125" s="9" t="s">
        <v>36</v>
      </c>
      <c r="S125" s="35"/>
      <c r="T125" s="13" t="s">
        <v>47</v>
      </c>
      <c r="U125" s="13" t="s">
        <v>47</v>
      </c>
      <c r="V125" s="13" t="s">
        <v>38</v>
      </c>
      <c r="W125" s="13" t="s">
        <v>37</v>
      </c>
      <c r="X125" s="13" t="s">
        <v>37</v>
      </c>
      <c r="Y125" s="13" t="s">
        <v>51</v>
      </c>
      <c r="Z125" s="20" t="s">
        <v>37</v>
      </c>
      <c r="AA125" s="13" t="s">
        <v>40</v>
      </c>
      <c r="AB125" s="10">
        <f t="shared" si="4"/>
        <v>8</v>
      </c>
    </row>
    <row r="126">
      <c r="A126" s="8">
        <v>45618.45112528936</v>
      </c>
      <c r="B126" s="9">
        <v>125.0</v>
      </c>
      <c r="C126" s="10" t="str">
        <f t="shared" si="1"/>
        <v>RONDINEY NASCIMENTO</v>
      </c>
      <c r="D126" s="9" t="s">
        <v>341</v>
      </c>
      <c r="E126" s="11">
        <v>30736.0</v>
      </c>
      <c r="F126" s="16">
        <f t="shared" si="2"/>
        <v>41</v>
      </c>
      <c r="G126" s="10" t="str">
        <f t="shared" si="3"/>
        <v>fevereiro</v>
      </c>
      <c r="H126" s="12">
        <v>2.7996903414E10</v>
      </c>
      <c r="I126" s="13" t="s">
        <v>29</v>
      </c>
      <c r="J126" s="9" t="s">
        <v>104</v>
      </c>
      <c r="K126" s="13" t="s">
        <v>49</v>
      </c>
      <c r="L126" s="9" t="s">
        <v>340</v>
      </c>
      <c r="M126" s="9"/>
      <c r="N126" s="9" t="s">
        <v>106</v>
      </c>
      <c r="O126" s="9">
        <v>25.0</v>
      </c>
      <c r="P126" s="9" t="s">
        <v>98</v>
      </c>
      <c r="Q126" s="9" t="s">
        <v>35</v>
      </c>
      <c r="R126" s="9" t="s">
        <v>36</v>
      </c>
      <c r="S126" s="15" t="s">
        <v>382</v>
      </c>
      <c r="T126" s="13" t="s">
        <v>37</v>
      </c>
      <c r="U126" s="20" t="s">
        <v>37</v>
      </c>
      <c r="V126" s="13" t="s">
        <v>38</v>
      </c>
      <c r="W126" s="13" t="s">
        <v>37</v>
      </c>
      <c r="X126" s="13" t="s">
        <v>37</v>
      </c>
      <c r="Y126" s="13" t="s">
        <v>51</v>
      </c>
      <c r="Z126" s="20" t="s">
        <v>37</v>
      </c>
      <c r="AA126" s="13" t="s">
        <v>40</v>
      </c>
      <c r="AB126" s="10">
        <f t="shared" si="4"/>
        <v>2</v>
      </c>
    </row>
    <row r="127">
      <c r="A127" s="8">
        <v>45615.5966516551</v>
      </c>
      <c r="B127" s="9">
        <v>126.0</v>
      </c>
      <c r="C127" s="9" t="str">
        <f t="shared" si="1"/>
        <v>SAMUEL TOREZANI FERREIRA </v>
      </c>
      <c r="D127" s="9" t="s">
        <v>383</v>
      </c>
      <c r="E127" s="11">
        <v>41353.0</v>
      </c>
      <c r="F127" s="16">
        <f t="shared" si="2"/>
        <v>12</v>
      </c>
      <c r="G127" s="10" t="str">
        <f t="shared" si="3"/>
        <v>março</v>
      </c>
      <c r="H127" s="12">
        <v>2.7996162326E10</v>
      </c>
      <c r="I127" s="13" t="s">
        <v>29</v>
      </c>
      <c r="J127" s="10"/>
      <c r="K127" s="13" t="s">
        <v>30</v>
      </c>
      <c r="L127" s="10"/>
      <c r="M127" s="9" t="s">
        <v>182</v>
      </c>
      <c r="N127" s="9" t="s">
        <v>184</v>
      </c>
      <c r="O127" s="9">
        <v>255.0</v>
      </c>
      <c r="P127" s="9" t="s">
        <v>185</v>
      </c>
      <c r="Q127" s="9" t="s">
        <v>35</v>
      </c>
      <c r="R127" s="9" t="s">
        <v>36</v>
      </c>
      <c r="S127" s="15">
        <v>2.914343E7</v>
      </c>
      <c r="T127" s="13" t="s">
        <v>47</v>
      </c>
      <c r="U127" s="13" t="s">
        <v>47</v>
      </c>
      <c r="V127" s="13" t="s">
        <v>38</v>
      </c>
      <c r="W127" s="13" t="s">
        <v>37</v>
      </c>
      <c r="X127" s="13" t="s">
        <v>37</v>
      </c>
      <c r="Y127" s="13" t="s">
        <v>48</v>
      </c>
      <c r="Z127" s="20" t="s">
        <v>37</v>
      </c>
      <c r="AA127" s="13" t="s">
        <v>40</v>
      </c>
      <c r="AB127" s="18">
        <f t="shared" si="4"/>
        <v>3</v>
      </c>
    </row>
    <row r="128">
      <c r="A128" s="22">
        <v>45612.71999078704</v>
      </c>
      <c r="B128" s="9">
        <v>127.0</v>
      </c>
      <c r="C128" s="23" t="str">
        <f t="shared" si="1"/>
        <v>SCHAIANY PIMENTEL SANTA CLARA DE PAULA </v>
      </c>
      <c r="D128" s="23" t="s">
        <v>172</v>
      </c>
      <c r="E128" s="24">
        <v>34152.0</v>
      </c>
      <c r="F128" s="21">
        <f t="shared" si="2"/>
        <v>32</v>
      </c>
      <c r="G128" s="25" t="str">
        <f t="shared" si="3"/>
        <v>julho</v>
      </c>
      <c r="H128" s="26">
        <v>2.7996640632E10</v>
      </c>
      <c r="I128" s="20" t="s">
        <v>42</v>
      </c>
      <c r="J128" s="23"/>
      <c r="K128" s="20" t="s">
        <v>49</v>
      </c>
      <c r="L128" s="23" t="s">
        <v>384</v>
      </c>
      <c r="M128" s="28"/>
      <c r="N128" s="23" t="s">
        <v>385</v>
      </c>
      <c r="O128" s="23">
        <v>161.0</v>
      </c>
      <c r="P128" s="23" t="s">
        <v>174</v>
      </c>
      <c r="Q128" s="23" t="s">
        <v>35</v>
      </c>
      <c r="R128" s="23" t="s">
        <v>36</v>
      </c>
      <c r="S128" s="27">
        <v>2.9144657E7</v>
      </c>
      <c r="T128" s="20" t="s">
        <v>47</v>
      </c>
      <c r="U128" s="13" t="s">
        <v>47</v>
      </c>
      <c r="V128" s="20" t="s">
        <v>38</v>
      </c>
      <c r="W128" s="20" t="s">
        <v>47</v>
      </c>
      <c r="X128" s="20" t="s">
        <v>47</v>
      </c>
      <c r="Y128" s="20" t="s">
        <v>69</v>
      </c>
      <c r="Z128" s="20" t="s">
        <v>37</v>
      </c>
      <c r="AA128" s="13" t="s">
        <v>40</v>
      </c>
      <c r="AB128" s="18">
        <f t="shared" si="4"/>
        <v>7</v>
      </c>
    </row>
    <row r="129">
      <c r="A129" s="8">
        <v>45615.594655312496</v>
      </c>
      <c r="B129" s="9">
        <v>128.0</v>
      </c>
      <c r="C129" s="9" t="str">
        <f t="shared" si="1"/>
        <v>SCHEILA APARECIDA TOREZANI FERREIRA </v>
      </c>
      <c r="D129" s="9" t="s">
        <v>386</v>
      </c>
      <c r="E129" s="11">
        <v>27685.0</v>
      </c>
      <c r="F129" s="16">
        <f t="shared" si="2"/>
        <v>50</v>
      </c>
      <c r="G129" s="10" t="str">
        <f t="shared" si="3"/>
        <v>outubro</v>
      </c>
      <c r="H129" s="12">
        <v>2.7998772135E10</v>
      </c>
      <c r="I129" s="13" t="s">
        <v>42</v>
      </c>
      <c r="J129" s="9"/>
      <c r="K129" s="13" t="s">
        <v>49</v>
      </c>
      <c r="L129" s="9" t="s">
        <v>182</v>
      </c>
      <c r="M129" s="10"/>
      <c r="N129" s="9" t="s">
        <v>184</v>
      </c>
      <c r="O129" s="9">
        <v>255.0</v>
      </c>
      <c r="P129" s="9" t="s">
        <v>387</v>
      </c>
      <c r="Q129" s="9" t="s">
        <v>35</v>
      </c>
      <c r="R129" s="9" t="s">
        <v>36</v>
      </c>
      <c r="S129" s="15">
        <v>2.914343E7</v>
      </c>
      <c r="T129" s="13" t="s">
        <v>47</v>
      </c>
      <c r="U129" s="13" t="s">
        <v>47</v>
      </c>
      <c r="V129" s="13" t="s">
        <v>38</v>
      </c>
      <c r="W129" s="13" t="s">
        <v>37</v>
      </c>
      <c r="X129" s="13" t="s">
        <v>47</v>
      </c>
      <c r="Y129" s="13" t="s">
        <v>51</v>
      </c>
      <c r="Z129" s="20" t="s">
        <v>37</v>
      </c>
      <c r="AA129" s="13" t="s">
        <v>40</v>
      </c>
      <c r="AB129" s="18">
        <f t="shared" si="4"/>
        <v>10</v>
      </c>
    </row>
    <row r="130">
      <c r="A130" s="8">
        <v>45796.4289694676</v>
      </c>
      <c r="B130" s="9">
        <v>129.0</v>
      </c>
      <c r="C130" s="10" t="str">
        <f t="shared" si="1"/>
        <v>SHAUANY SOUZA GOMES CRUZ </v>
      </c>
      <c r="D130" s="9" t="s">
        <v>388</v>
      </c>
      <c r="E130" s="11">
        <v>37405.0</v>
      </c>
      <c r="F130" s="10">
        <f t="shared" si="2"/>
        <v>23</v>
      </c>
      <c r="G130" s="10" t="str">
        <f t="shared" si="3"/>
        <v>maio</v>
      </c>
      <c r="H130" s="12">
        <v>2.7989003788E10</v>
      </c>
      <c r="I130" s="13" t="s">
        <v>42</v>
      </c>
      <c r="J130" s="10"/>
      <c r="K130" s="13" t="s">
        <v>49</v>
      </c>
      <c r="L130" s="9" t="s">
        <v>389</v>
      </c>
      <c r="M130" s="10"/>
      <c r="N130" s="9" t="s">
        <v>390</v>
      </c>
      <c r="O130" s="9">
        <v>20.0</v>
      </c>
      <c r="P130" s="9" t="s">
        <v>55</v>
      </c>
      <c r="Q130" s="9" t="s">
        <v>35</v>
      </c>
      <c r="R130" s="9" t="s">
        <v>36</v>
      </c>
      <c r="S130" s="35"/>
      <c r="T130" s="13" t="s">
        <v>47</v>
      </c>
      <c r="U130" s="13" t="s">
        <v>37</v>
      </c>
      <c r="V130" s="13" t="s">
        <v>160</v>
      </c>
      <c r="W130" s="13" t="s">
        <v>37</v>
      </c>
      <c r="X130" s="13" t="s">
        <v>37</v>
      </c>
      <c r="Y130" s="13" t="s">
        <v>69</v>
      </c>
      <c r="Z130" s="13" t="s">
        <v>37</v>
      </c>
      <c r="AA130" s="13" t="s">
        <v>40</v>
      </c>
      <c r="AB130" s="10">
        <f t="shared" si="4"/>
        <v>5</v>
      </c>
    </row>
    <row r="131">
      <c r="A131" s="8">
        <v>45619.51149476852</v>
      </c>
      <c r="B131" s="9">
        <v>130.0</v>
      </c>
      <c r="C131" s="10" t="str">
        <f t="shared" si="1"/>
        <v>SIDNEI NOGUEIRA DIAS</v>
      </c>
      <c r="D131" s="9" t="s">
        <v>391</v>
      </c>
      <c r="E131" s="11">
        <v>29996.0</v>
      </c>
      <c r="F131" s="10">
        <f t="shared" si="2"/>
        <v>43</v>
      </c>
      <c r="G131" s="10" t="str">
        <f t="shared" si="3"/>
        <v>fevereiro</v>
      </c>
      <c r="H131" s="12">
        <v>2.7997507686E10</v>
      </c>
      <c r="I131" s="13" t="s">
        <v>29</v>
      </c>
      <c r="J131" s="10"/>
      <c r="K131" s="13" t="s">
        <v>49</v>
      </c>
      <c r="L131" s="9" t="s">
        <v>118</v>
      </c>
      <c r="M131" s="10"/>
      <c r="N131" s="9" t="s">
        <v>178</v>
      </c>
      <c r="O131" s="9">
        <v>145.0</v>
      </c>
      <c r="P131" s="9" t="s">
        <v>121</v>
      </c>
      <c r="Q131" s="9" t="s">
        <v>35</v>
      </c>
      <c r="R131" s="9" t="s">
        <v>36</v>
      </c>
      <c r="S131" s="15">
        <v>2.9146805E7</v>
      </c>
      <c r="T131" s="13" t="s">
        <v>47</v>
      </c>
      <c r="U131" s="13" t="s">
        <v>47</v>
      </c>
      <c r="V131" s="13" t="s">
        <v>38</v>
      </c>
      <c r="W131" s="13" t="s">
        <v>37</v>
      </c>
      <c r="X131" s="13" t="s">
        <v>37</v>
      </c>
      <c r="Y131" s="13" t="s">
        <v>51</v>
      </c>
      <c r="Z131" s="20" t="s">
        <v>37</v>
      </c>
      <c r="AA131" s="13" t="s">
        <v>40</v>
      </c>
      <c r="AB131" s="10">
        <f t="shared" si="4"/>
        <v>2</v>
      </c>
    </row>
    <row r="132">
      <c r="A132" s="22">
        <v>45613.50852234954</v>
      </c>
      <c r="B132" s="9">
        <v>131.0</v>
      </c>
      <c r="C132" s="23" t="str">
        <f t="shared" si="1"/>
        <v>SUELEN VIEIRA DE REZENDE </v>
      </c>
      <c r="D132" s="23" t="s">
        <v>392</v>
      </c>
      <c r="E132" s="24">
        <v>37042.0</v>
      </c>
      <c r="F132" s="21">
        <f t="shared" si="2"/>
        <v>24</v>
      </c>
      <c r="G132" s="25" t="str">
        <f t="shared" si="3"/>
        <v>maio</v>
      </c>
      <c r="H132" s="26">
        <v>2.7988356879E10</v>
      </c>
      <c r="I132" s="20" t="s">
        <v>42</v>
      </c>
      <c r="J132" s="23"/>
      <c r="K132" s="20" t="s">
        <v>49</v>
      </c>
      <c r="L132" s="23" t="s">
        <v>139</v>
      </c>
      <c r="M132" s="23"/>
      <c r="N132" s="23">
        <v>12.0</v>
      </c>
      <c r="O132" s="23">
        <v>102.0</v>
      </c>
      <c r="P132" s="23" t="s">
        <v>93</v>
      </c>
      <c r="Q132" s="23" t="s">
        <v>35</v>
      </c>
      <c r="R132" s="23" t="s">
        <v>36</v>
      </c>
      <c r="S132" s="27">
        <v>2.915741E7</v>
      </c>
      <c r="T132" s="20" t="s">
        <v>47</v>
      </c>
      <c r="U132" s="13" t="s">
        <v>47</v>
      </c>
      <c r="V132" s="20" t="s">
        <v>38</v>
      </c>
      <c r="W132" s="20" t="s">
        <v>37</v>
      </c>
      <c r="X132" s="13" t="s">
        <v>37</v>
      </c>
      <c r="Y132" s="13" t="s">
        <v>69</v>
      </c>
      <c r="Z132" s="20" t="s">
        <v>37</v>
      </c>
      <c r="AA132" s="13" t="s">
        <v>40</v>
      </c>
      <c r="AB132" s="18">
        <f t="shared" si="4"/>
        <v>5</v>
      </c>
    </row>
    <row r="133">
      <c r="A133" s="8">
        <v>45617.6612859375</v>
      </c>
      <c r="B133" s="9">
        <v>132.0</v>
      </c>
      <c r="C133" s="10" t="str">
        <f t="shared" si="1"/>
        <v>TEREZINHA FONTES</v>
      </c>
      <c r="D133" s="9" t="s">
        <v>393</v>
      </c>
      <c r="E133" s="11">
        <v>19425.0</v>
      </c>
      <c r="F133" s="16">
        <f t="shared" si="2"/>
        <v>72</v>
      </c>
      <c r="G133" s="10" t="str">
        <f t="shared" si="3"/>
        <v>março</v>
      </c>
      <c r="H133" s="12">
        <v>2.7999368677E10</v>
      </c>
      <c r="I133" s="13" t="s">
        <v>42</v>
      </c>
      <c r="J133" s="9"/>
      <c r="K133" s="13" t="s">
        <v>49</v>
      </c>
      <c r="L133" s="9" t="s">
        <v>95</v>
      </c>
      <c r="M133" s="10"/>
      <c r="N133" s="9" t="s">
        <v>97</v>
      </c>
      <c r="O133" s="9">
        <v>159.0</v>
      </c>
      <c r="P133" s="9" t="s">
        <v>98</v>
      </c>
      <c r="Q133" s="9" t="s">
        <v>35</v>
      </c>
      <c r="R133" s="9" t="s">
        <v>36</v>
      </c>
      <c r="S133" s="15">
        <v>2.9146675E7</v>
      </c>
      <c r="T133" s="13" t="s">
        <v>47</v>
      </c>
      <c r="U133" s="13" t="s">
        <v>47</v>
      </c>
      <c r="V133" s="13" t="s">
        <v>38</v>
      </c>
      <c r="W133" s="13" t="s">
        <v>37</v>
      </c>
      <c r="X133" s="13" t="s">
        <v>37</v>
      </c>
      <c r="Y133" s="13" t="s">
        <v>65</v>
      </c>
      <c r="Z133" s="20" t="s">
        <v>37</v>
      </c>
      <c r="AA133" s="13" t="s">
        <v>40</v>
      </c>
      <c r="AB133" s="10">
        <f t="shared" si="4"/>
        <v>3</v>
      </c>
    </row>
    <row r="134">
      <c r="A134" s="8">
        <v>45614.60116486112</v>
      </c>
      <c r="B134" s="9">
        <v>133.0</v>
      </c>
      <c r="C134" s="9" t="str">
        <f t="shared" si="1"/>
        <v>THAMYRES COELHO CARDOSO </v>
      </c>
      <c r="D134" s="9" t="s">
        <v>394</v>
      </c>
      <c r="E134" s="11">
        <v>37035.0</v>
      </c>
      <c r="F134" s="16">
        <f t="shared" si="2"/>
        <v>24</v>
      </c>
      <c r="G134" s="17" t="str">
        <f t="shared" si="3"/>
        <v>maio</v>
      </c>
      <c r="H134" s="12">
        <v>2.799807254E10</v>
      </c>
      <c r="I134" s="13" t="s">
        <v>42</v>
      </c>
      <c r="J134" s="9"/>
      <c r="K134" s="13" t="s">
        <v>49</v>
      </c>
      <c r="L134" s="9" t="s">
        <v>395</v>
      </c>
      <c r="M134" s="10"/>
      <c r="N134" s="9" t="s">
        <v>396</v>
      </c>
      <c r="O134" s="9">
        <v>19.0</v>
      </c>
      <c r="P134" s="9" t="s">
        <v>397</v>
      </c>
      <c r="Q134" s="9" t="s">
        <v>35</v>
      </c>
      <c r="R134" s="9" t="s">
        <v>36</v>
      </c>
      <c r="S134" s="15">
        <v>2.9158652E7</v>
      </c>
      <c r="T134" s="13" t="s">
        <v>47</v>
      </c>
      <c r="U134" s="13" t="s">
        <v>47</v>
      </c>
      <c r="V134" s="13" t="s">
        <v>38</v>
      </c>
      <c r="W134" s="13" t="s">
        <v>37</v>
      </c>
      <c r="X134" s="13" t="s">
        <v>37</v>
      </c>
      <c r="Y134" s="13" t="s">
        <v>69</v>
      </c>
      <c r="Z134" s="20" t="s">
        <v>37</v>
      </c>
      <c r="AA134" s="13" t="s">
        <v>40</v>
      </c>
      <c r="AB134" s="18">
        <f t="shared" si="4"/>
        <v>5</v>
      </c>
    </row>
    <row r="135">
      <c r="A135" s="8">
        <v>45641.56024465278</v>
      </c>
      <c r="B135" s="9">
        <v>134.0</v>
      </c>
      <c r="C135" s="10" t="str">
        <f t="shared" si="1"/>
        <v>THAYNÁ DE SOUZA DUTRA</v>
      </c>
      <c r="D135" s="9" t="s">
        <v>398</v>
      </c>
      <c r="E135" s="11">
        <v>35128.0</v>
      </c>
      <c r="F135" s="10">
        <f t="shared" si="2"/>
        <v>29</v>
      </c>
      <c r="G135" s="10" t="str">
        <f t="shared" si="3"/>
        <v>março</v>
      </c>
      <c r="H135" s="12">
        <v>2.7999073362E10</v>
      </c>
      <c r="I135" s="13" t="s">
        <v>42</v>
      </c>
      <c r="J135" s="10"/>
      <c r="K135" s="13" t="s">
        <v>49</v>
      </c>
      <c r="L135" s="9" t="s">
        <v>399</v>
      </c>
      <c r="M135" s="10"/>
      <c r="N135" s="9" t="s">
        <v>400</v>
      </c>
      <c r="O135" s="9">
        <v>1035.0</v>
      </c>
      <c r="P135" s="9" t="s">
        <v>401</v>
      </c>
      <c r="Q135" s="9" t="s">
        <v>35</v>
      </c>
      <c r="R135" s="9" t="s">
        <v>36</v>
      </c>
      <c r="S135" s="15">
        <v>2.9141459E7</v>
      </c>
      <c r="T135" s="13" t="s">
        <v>47</v>
      </c>
      <c r="U135" s="13" t="s">
        <v>47</v>
      </c>
      <c r="V135" s="13" t="s">
        <v>38</v>
      </c>
      <c r="W135" s="13" t="s">
        <v>37</v>
      </c>
      <c r="X135" s="13" t="s">
        <v>37</v>
      </c>
      <c r="Y135" s="13" t="s">
        <v>69</v>
      </c>
      <c r="Z135" s="13" t="s">
        <v>37</v>
      </c>
      <c r="AA135" s="13" t="s">
        <v>40</v>
      </c>
      <c r="AB135" s="10">
        <f t="shared" si="4"/>
        <v>3</v>
      </c>
    </row>
    <row r="136">
      <c r="A136" s="8">
        <v>45618.88929710648</v>
      </c>
      <c r="B136" s="9">
        <v>135.0</v>
      </c>
      <c r="C136" s="10" t="str">
        <f t="shared" si="1"/>
        <v>THIFFANY FERNANDES DE BRITO </v>
      </c>
      <c r="D136" s="9" t="s">
        <v>360</v>
      </c>
      <c r="E136" s="11">
        <v>36208.0</v>
      </c>
      <c r="F136" s="10">
        <f t="shared" si="2"/>
        <v>26</v>
      </c>
      <c r="G136" s="10" t="str">
        <f t="shared" si="3"/>
        <v>fevereiro</v>
      </c>
      <c r="H136" s="12">
        <v>2.7995746717E10</v>
      </c>
      <c r="I136" s="13" t="s">
        <v>42</v>
      </c>
      <c r="J136" s="10"/>
      <c r="K136" s="38" t="s">
        <v>49</v>
      </c>
      <c r="L136" s="34" t="s">
        <v>402</v>
      </c>
      <c r="M136" s="10"/>
      <c r="N136" s="9" t="s">
        <v>403</v>
      </c>
      <c r="O136" s="9">
        <v>66.0</v>
      </c>
      <c r="P136" s="9" t="s">
        <v>362</v>
      </c>
      <c r="Q136" s="9" t="s">
        <v>76</v>
      </c>
      <c r="R136" s="9" t="s">
        <v>36</v>
      </c>
      <c r="S136" s="15" t="s">
        <v>404</v>
      </c>
      <c r="T136" s="13" t="s">
        <v>47</v>
      </c>
      <c r="U136" s="13" t="s">
        <v>47</v>
      </c>
      <c r="V136" s="13" t="s">
        <v>38</v>
      </c>
      <c r="W136" s="13" t="s">
        <v>37</v>
      </c>
      <c r="X136" s="13" t="s">
        <v>37</v>
      </c>
      <c r="Y136" s="13" t="s">
        <v>69</v>
      </c>
      <c r="Z136" s="20" t="s">
        <v>37</v>
      </c>
      <c r="AA136" s="13" t="s">
        <v>40</v>
      </c>
      <c r="AB136" s="10">
        <f t="shared" si="4"/>
        <v>2</v>
      </c>
    </row>
    <row r="137">
      <c r="A137" s="8">
        <v>45805.49195729167</v>
      </c>
      <c r="B137" s="9">
        <v>136.0</v>
      </c>
      <c r="C137" s="10" t="str">
        <f t="shared" si="1"/>
        <v>TIAGO DIAS QUARESMA FRANÇA </v>
      </c>
      <c r="D137" s="9" t="s">
        <v>405</v>
      </c>
      <c r="E137" s="11">
        <v>37990.0</v>
      </c>
      <c r="F137" s="10">
        <f t="shared" si="2"/>
        <v>21</v>
      </c>
      <c r="G137" s="10" t="str">
        <f t="shared" si="3"/>
        <v>janeiro</v>
      </c>
      <c r="H137" s="12">
        <v>2.7997309316E10</v>
      </c>
      <c r="I137" s="13" t="s">
        <v>29</v>
      </c>
      <c r="J137" s="10"/>
      <c r="K137" s="13" t="s">
        <v>49</v>
      </c>
      <c r="L137" s="9" t="s">
        <v>406</v>
      </c>
      <c r="M137" s="10"/>
      <c r="N137" s="9" t="s">
        <v>407</v>
      </c>
      <c r="O137" s="9">
        <v>85.0</v>
      </c>
      <c r="P137" s="9" t="s">
        <v>244</v>
      </c>
      <c r="Q137" s="9" t="s">
        <v>35</v>
      </c>
      <c r="R137" s="9" t="s">
        <v>36</v>
      </c>
      <c r="S137" s="9">
        <v>2.9143725E7</v>
      </c>
      <c r="T137" s="13" t="s">
        <v>47</v>
      </c>
      <c r="U137" s="13" t="s">
        <v>47</v>
      </c>
      <c r="V137" s="13" t="s">
        <v>38</v>
      </c>
      <c r="W137" s="13" t="s">
        <v>37</v>
      </c>
      <c r="X137" s="13" t="s">
        <v>37</v>
      </c>
      <c r="Y137" s="13" t="s">
        <v>69</v>
      </c>
      <c r="Z137" s="13" t="s">
        <v>37</v>
      </c>
      <c r="AA137" s="13" t="s">
        <v>40</v>
      </c>
      <c r="AB137" s="10">
        <f t="shared" si="4"/>
        <v>1</v>
      </c>
    </row>
    <row r="138">
      <c r="A138" s="8">
        <v>45621.3142912037</v>
      </c>
      <c r="B138" s="9">
        <v>137.0</v>
      </c>
      <c r="C138" s="10" t="str">
        <f t="shared" si="1"/>
        <v>UBIRANEL DA SILVEIRA MOTA</v>
      </c>
      <c r="D138" s="9" t="s">
        <v>347</v>
      </c>
      <c r="E138" s="11">
        <v>29843.0</v>
      </c>
      <c r="F138" s="10">
        <f t="shared" si="2"/>
        <v>44</v>
      </c>
      <c r="G138" s="10" t="str">
        <f t="shared" si="3"/>
        <v>setembro</v>
      </c>
      <c r="H138" s="12">
        <v>2.7998351035E10</v>
      </c>
      <c r="I138" s="13" t="s">
        <v>29</v>
      </c>
      <c r="J138" s="9" t="s">
        <v>194</v>
      </c>
      <c r="K138" s="13" t="s">
        <v>49</v>
      </c>
      <c r="L138" s="9" t="s">
        <v>228</v>
      </c>
      <c r="M138" s="10"/>
      <c r="N138" s="9" t="s">
        <v>229</v>
      </c>
      <c r="O138" s="9">
        <v>52.0</v>
      </c>
      <c r="P138" s="9" t="s">
        <v>408</v>
      </c>
      <c r="Q138" s="9" t="s">
        <v>76</v>
      </c>
      <c r="R138" s="9" t="s">
        <v>36</v>
      </c>
      <c r="S138" s="15">
        <v>2.9134513E7</v>
      </c>
      <c r="T138" s="13" t="s">
        <v>47</v>
      </c>
      <c r="U138" s="13" t="s">
        <v>47</v>
      </c>
      <c r="V138" s="13" t="s">
        <v>38</v>
      </c>
      <c r="W138" s="13" t="s">
        <v>37</v>
      </c>
      <c r="X138" s="13" t="s">
        <v>37</v>
      </c>
      <c r="Y138" s="13" t="s">
        <v>51</v>
      </c>
      <c r="Z138" s="20" t="s">
        <v>37</v>
      </c>
      <c r="AA138" s="13" t="s">
        <v>40</v>
      </c>
      <c r="AB138" s="10">
        <f t="shared" si="4"/>
        <v>9</v>
      </c>
    </row>
    <row r="139">
      <c r="A139" s="8">
        <v>45615.605603344906</v>
      </c>
      <c r="B139" s="9">
        <v>138.0</v>
      </c>
      <c r="C139" s="9" t="str">
        <f t="shared" si="1"/>
        <v>VASTHI FERREIRA GOMES FRAGA </v>
      </c>
      <c r="D139" s="9" t="s">
        <v>349</v>
      </c>
      <c r="E139" s="11">
        <v>26840.0</v>
      </c>
      <c r="F139" s="16">
        <f t="shared" si="2"/>
        <v>52</v>
      </c>
      <c r="G139" s="10" t="str">
        <f t="shared" si="3"/>
        <v>junho</v>
      </c>
      <c r="H139" s="12">
        <v>2.7997723358E10</v>
      </c>
      <c r="I139" s="13" t="s">
        <v>42</v>
      </c>
      <c r="J139" s="9"/>
      <c r="K139" s="13" t="s">
        <v>49</v>
      </c>
      <c r="L139" s="9" t="s">
        <v>348</v>
      </c>
      <c r="M139" s="10"/>
      <c r="N139" s="9" t="s">
        <v>350</v>
      </c>
      <c r="O139" s="9">
        <v>249.0</v>
      </c>
      <c r="P139" s="9" t="s">
        <v>351</v>
      </c>
      <c r="Q139" s="9" t="s">
        <v>352</v>
      </c>
      <c r="R139" s="9" t="s">
        <v>36</v>
      </c>
      <c r="S139" s="15">
        <v>2.904804E7</v>
      </c>
      <c r="T139" s="13" t="s">
        <v>47</v>
      </c>
      <c r="U139" s="13" t="s">
        <v>37</v>
      </c>
      <c r="V139" s="13" t="s">
        <v>160</v>
      </c>
      <c r="W139" s="13" t="s">
        <v>37</v>
      </c>
      <c r="X139" s="13" t="s">
        <v>37</v>
      </c>
      <c r="Y139" s="13" t="s">
        <v>51</v>
      </c>
      <c r="Z139" s="20" t="s">
        <v>37</v>
      </c>
      <c r="AA139" s="13" t="s">
        <v>40</v>
      </c>
      <c r="AB139" s="18">
        <f t="shared" si="4"/>
        <v>6</v>
      </c>
    </row>
    <row r="140">
      <c r="A140" s="8">
        <v>45618.260420810184</v>
      </c>
      <c r="B140" s="9">
        <v>139.0</v>
      </c>
      <c r="C140" s="10" t="str">
        <f t="shared" si="1"/>
        <v>VERÔNICA DA SILVA ALVES CLARO </v>
      </c>
      <c r="D140" s="9" t="s">
        <v>53</v>
      </c>
      <c r="E140" s="11">
        <v>33400.0</v>
      </c>
      <c r="F140" s="16">
        <f t="shared" si="2"/>
        <v>34</v>
      </c>
      <c r="G140" s="10" t="str">
        <f t="shared" si="3"/>
        <v>junho</v>
      </c>
      <c r="H140" s="12">
        <v>2.7988628318E10</v>
      </c>
      <c r="I140" s="13" t="s">
        <v>42</v>
      </c>
      <c r="J140" s="9"/>
      <c r="K140" s="13" t="s">
        <v>49</v>
      </c>
      <c r="L140" s="9" t="s">
        <v>52</v>
      </c>
      <c r="M140" s="10"/>
      <c r="N140" s="9" t="s">
        <v>54</v>
      </c>
      <c r="O140" s="9">
        <v>209.0</v>
      </c>
      <c r="P140" s="9" t="s">
        <v>55</v>
      </c>
      <c r="Q140" s="9" t="s">
        <v>35</v>
      </c>
      <c r="R140" s="9" t="s">
        <v>36</v>
      </c>
      <c r="S140" s="15">
        <v>2.9145675E7</v>
      </c>
      <c r="T140" s="13" t="s">
        <v>47</v>
      </c>
      <c r="U140" s="13" t="s">
        <v>47</v>
      </c>
      <c r="V140" s="13" t="s">
        <v>38</v>
      </c>
      <c r="W140" s="13" t="s">
        <v>37</v>
      </c>
      <c r="X140" s="13" t="s">
        <v>37</v>
      </c>
      <c r="Y140" s="13" t="s">
        <v>69</v>
      </c>
      <c r="Z140" s="20" t="s">
        <v>37</v>
      </c>
      <c r="AA140" s="13" t="s">
        <v>40</v>
      </c>
      <c r="AB140" s="10">
        <f t="shared" si="4"/>
        <v>6</v>
      </c>
    </row>
    <row r="141">
      <c r="A141" s="22">
        <v>45613.50536019676</v>
      </c>
      <c r="B141" s="9">
        <v>140.0</v>
      </c>
      <c r="C141" s="23" t="str">
        <f t="shared" si="1"/>
        <v>VERUSKA PINTO MOUZINHO ALMEIDA</v>
      </c>
      <c r="D141" s="23" t="s">
        <v>100</v>
      </c>
      <c r="E141" s="24">
        <v>34595.0</v>
      </c>
      <c r="F141" s="21">
        <f t="shared" si="2"/>
        <v>31</v>
      </c>
      <c r="G141" s="25" t="str">
        <f t="shared" si="3"/>
        <v>setembro</v>
      </c>
      <c r="H141" s="26">
        <v>2.7997226172E10</v>
      </c>
      <c r="I141" s="20" t="s">
        <v>42</v>
      </c>
      <c r="J141" s="23"/>
      <c r="K141" s="20" t="s">
        <v>49</v>
      </c>
      <c r="L141" s="23" t="s">
        <v>409</v>
      </c>
      <c r="M141" s="28"/>
      <c r="N141" s="23" t="s">
        <v>101</v>
      </c>
      <c r="O141" s="23">
        <v>40.0</v>
      </c>
      <c r="P141" s="23" t="s">
        <v>102</v>
      </c>
      <c r="Q141" s="23" t="s">
        <v>35</v>
      </c>
      <c r="R141" s="23" t="s">
        <v>36</v>
      </c>
      <c r="S141" s="27">
        <v>2.914365E7</v>
      </c>
      <c r="T141" s="20" t="s">
        <v>47</v>
      </c>
      <c r="U141" s="13" t="s">
        <v>47</v>
      </c>
      <c r="V141" s="20" t="s">
        <v>38</v>
      </c>
      <c r="W141" s="20" t="s">
        <v>47</v>
      </c>
      <c r="X141" s="13" t="s">
        <v>47</v>
      </c>
      <c r="Y141" s="20" t="s">
        <v>69</v>
      </c>
      <c r="Z141" s="20" t="s">
        <v>37</v>
      </c>
      <c r="AA141" s="13" t="s">
        <v>40</v>
      </c>
      <c r="AB141" s="18">
        <f t="shared" si="4"/>
        <v>9</v>
      </c>
    </row>
    <row r="142">
      <c r="A142" s="8">
        <v>45614.73579</v>
      </c>
      <c r="B142" s="9">
        <v>141.0</v>
      </c>
      <c r="C142" s="9" t="str">
        <f t="shared" si="1"/>
        <v>VITOR PINTO DA SILVA</v>
      </c>
      <c r="D142" s="9" t="s">
        <v>410</v>
      </c>
      <c r="E142" s="11">
        <v>39227.0</v>
      </c>
      <c r="F142" s="16">
        <f t="shared" si="2"/>
        <v>18</v>
      </c>
      <c r="G142" s="9" t="str">
        <f t="shared" si="3"/>
        <v>maio</v>
      </c>
      <c r="H142" s="12">
        <v>2.7995769355E10</v>
      </c>
      <c r="I142" s="13" t="s">
        <v>29</v>
      </c>
      <c r="J142" s="10"/>
      <c r="K142" s="13" t="s">
        <v>30</v>
      </c>
      <c r="L142" s="10"/>
      <c r="M142" s="9" t="s">
        <v>411</v>
      </c>
      <c r="N142" s="9" t="s">
        <v>222</v>
      </c>
      <c r="O142" s="9">
        <v>59.0</v>
      </c>
      <c r="P142" s="9" t="s">
        <v>121</v>
      </c>
      <c r="Q142" s="9" t="s">
        <v>35</v>
      </c>
      <c r="R142" s="9" t="s">
        <v>36</v>
      </c>
      <c r="S142" s="15">
        <v>2.914684E7</v>
      </c>
      <c r="T142" s="13" t="s">
        <v>47</v>
      </c>
      <c r="U142" s="13" t="s">
        <v>47</v>
      </c>
      <c r="V142" s="13" t="s">
        <v>38</v>
      </c>
      <c r="W142" s="13" t="s">
        <v>37</v>
      </c>
      <c r="X142" s="13" t="s">
        <v>37</v>
      </c>
      <c r="Y142" s="13" t="s">
        <v>48</v>
      </c>
      <c r="Z142" s="20" t="s">
        <v>37</v>
      </c>
      <c r="AA142" s="13" t="s">
        <v>40</v>
      </c>
      <c r="AB142" s="18">
        <f t="shared" si="4"/>
        <v>5</v>
      </c>
    </row>
    <row r="143">
      <c r="A143" s="8">
        <v>45614.74314673611</v>
      </c>
      <c r="B143" s="9">
        <v>142.0</v>
      </c>
      <c r="C143" s="9" t="str">
        <f t="shared" si="1"/>
        <v>VITÓRIA PINTO DA SILVA</v>
      </c>
      <c r="D143" s="9" t="s">
        <v>412</v>
      </c>
      <c r="E143" s="11">
        <v>41061.0</v>
      </c>
      <c r="F143" s="16">
        <f t="shared" si="2"/>
        <v>13</v>
      </c>
      <c r="G143" s="9" t="str">
        <f t="shared" si="3"/>
        <v>junho</v>
      </c>
      <c r="H143" s="12">
        <v>2.7995827788E10</v>
      </c>
      <c r="I143" s="13" t="s">
        <v>42</v>
      </c>
      <c r="J143" s="10"/>
      <c r="K143" s="13" t="s">
        <v>30</v>
      </c>
      <c r="L143" s="10"/>
      <c r="M143" s="9" t="s">
        <v>413</v>
      </c>
      <c r="N143" s="9" t="s">
        <v>222</v>
      </c>
      <c r="O143" s="9">
        <v>59.0</v>
      </c>
      <c r="P143" s="9" t="s">
        <v>121</v>
      </c>
      <c r="Q143" s="9" t="s">
        <v>35</v>
      </c>
      <c r="R143" s="9" t="s">
        <v>36</v>
      </c>
      <c r="S143" s="15">
        <v>2.914684E7</v>
      </c>
      <c r="T143" s="13" t="s">
        <v>47</v>
      </c>
      <c r="U143" s="13" t="s">
        <v>47</v>
      </c>
      <c r="V143" s="13" t="s">
        <v>38</v>
      </c>
      <c r="W143" s="13" t="s">
        <v>37</v>
      </c>
      <c r="X143" s="13" t="s">
        <v>37</v>
      </c>
      <c r="Y143" s="13" t="s">
        <v>48</v>
      </c>
      <c r="Z143" s="20" t="s">
        <v>37</v>
      </c>
      <c r="AA143" s="13" t="s">
        <v>40</v>
      </c>
      <c r="AB143" s="18">
        <f t="shared" si="4"/>
        <v>6</v>
      </c>
    </row>
    <row r="144">
      <c r="A144" s="8">
        <v>45617.34548875</v>
      </c>
      <c r="B144" s="9">
        <v>143.0</v>
      </c>
      <c r="C144" s="9" t="str">
        <f t="shared" si="1"/>
        <v>WENDEL ARAÚJO FERNANDES </v>
      </c>
      <c r="D144" s="9" t="s">
        <v>414</v>
      </c>
      <c r="E144" s="11">
        <v>31233.0</v>
      </c>
      <c r="F144" s="16">
        <f t="shared" si="2"/>
        <v>40</v>
      </c>
      <c r="G144" s="10" t="str">
        <f t="shared" si="3"/>
        <v>julho</v>
      </c>
      <c r="H144" s="12">
        <v>2.7999206322E10</v>
      </c>
      <c r="I144" s="13" t="s">
        <v>29</v>
      </c>
      <c r="J144" s="10"/>
      <c r="K144" s="13" t="s">
        <v>30</v>
      </c>
      <c r="L144" s="10"/>
      <c r="M144" s="10"/>
      <c r="N144" s="9" t="s">
        <v>222</v>
      </c>
      <c r="O144" s="9">
        <v>38.0</v>
      </c>
      <c r="P144" s="9" t="s">
        <v>121</v>
      </c>
      <c r="Q144" s="9" t="s">
        <v>35</v>
      </c>
      <c r="R144" s="9" t="s">
        <v>36</v>
      </c>
      <c r="S144" s="15">
        <v>2.914684E7</v>
      </c>
      <c r="T144" s="13" t="s">
        <v>47</v>
      </c>
      <c r="U144" s="13" t="s">
        <v>47</v>
      </c>
      <c r="V144" s="13" t="s">
        <v>38</v>
      </c>
      <c r="W144" s="13" t="s">
        <v>37</v>
      </c>
      <c r="X144" s="13" t="s">
        <v>37</v>
      </c>
      <c r="Y144" s="13" t="s">
        <v>51</v>
      </c>
      <c r="Z144" s="20" t="s">
        <v>37</v>
      </c>
      <c r="AA144" s="13" t="s">
        <v>40</v>
      </c>
      <c r="AB144" s="28">
        <f t="shared" si="4"/>
        <v>7</v>
      </c>
    </row>
    <row r="145">
      <c r="A145" s="8">
        <v>45614.52827819444</v>
      </c>
      <c r="B145" s="9">
        <v>144.0</v>
      </c>
      <c r="C145" s="9" t="str">
        <f t="shared" si="1"/>
        <v>WILLIAN DE OLIVEIRA SOUZA </v>
      </c>
      <c r="D145" s="9" t="s">
        <v>415</v>
      </c>
      <c r="E145" s="11">
        <v>32209.0</v>
      </c>
      <c r="F145" s="16">
        <f t="shared" si="2"/>
        <v>37</v>
      </c>
      <c r="G145" s="17" t="str">
        <f t="shared" si="3"/>
        <v>março</v>
      </c>
      <c r="H145" s="12">
        <v>2.7997877484E10</v>
      </c>
      <c r="I145" s="13" t="s">
        <v>29</v>
      </c>
      <c r="J145" s="9"/>
      <c r="K145" s="13" t="s">
        <v>49</v>
      </c>
      <c r="L145" s="9" t="s">
        <v>286</v>
      </c>
      <c r="M145" s="10"/>
      <c r="N145" s="9">
        <v>16.0</v>
      </c>
      <c r="O145" s="9">
        <v>141.0</v>
      </c>
      <c r="P145" s="9" t="s">
        <v>93</v>
      </c>
      <c r="Q145" s="9" t="s">
        <v>35</v>
      </c>
      <c r="R145" s="9" t="s">
        <v>36</v>
      </c>
      <c r="S145" s="15">
        <v>2.9157414E7</v>
      </c>
      <c r="T145" s="13" t="s">
        <v>47</v>
      </c>
      <c r="U145" s="13" t="s">
        <v>47</v>
      </c>
      <c r="V145" s="13" t="s">
        <v>38</v>
      </c>
      <c r="W145" s="13" t="s">
        <v>37</v>
      </c>
      <c r="X145" s="13" t="s">
        <v>37</v>
      </c>
      <c r="Y145" s="13" t="s">
        <v>51</v>
      </c>
      <c r="Z145" s="20" t="s">
        <v>37</v>
      </c>
      <c r="AA145" s="13" t="s">
        <v>40</v>
      </c>
      <c r="AB145" s="18">
        <f t="shared" si="4"/>
        <v>3</v>
      </c>
    </row>
    <row r="146">
      <c r="A146" s="8">
        <v>45964.78141217593</v>
      </c>
      <c r="B146" s="9">
        <v>145.0</v>
      </c>
      <c r="C146" s="10" t="str">
        <f t="shared" si="1"/>
        <v>LUANA FERREIRA SPERANDIO </v>
      </c>
      <c r="D146" s="9" t="s">
        <v>416</v>
      </c>
      <c r="E146" s="11">
        <v>45620.0</v>
      </c>
      <c r="F146" s="10">
        <f t="shared" si="2"/>
        <v>0</v>
      </c>
      <c r="G146" s="10" t="str">
        <f t="shared" si="3"/>
        <v>novembro</v>
      </c>
      <c r="H146" s="9">
        <v>2.7997969899E10</v>
      </c>
      <c r="I146" s="13" t="s">
        <v>42</v>
      </c>
      <c r="J146" s="10"/>
      <c r="K146" s="13" t="s">
        <v>30</v>
      </c>
      <c r="L146" s="10"/>
      <c r="M146" s="9" t="s">
        <v>417</v>
      </c>
      <c r="N146" s="9" t="s">
        <v>101</v>
      </c>
      <c r="O146" s="9">
        <v>67.0</v>
      </c>
      <c r="P146" s="9" t="s">
        <v>244</v>
      </c>
      <c r="Q146" s="9" t="s">
        <v>35</v>
      </c>
      <c r="R146" s="9" t="s">
        <v>36</v>
      </c>
      <c r="S146" s="9">
        <v>2.914356E7</v>
      </c>
      <c r="T146" s="13" t="s">
        <v>37</v>
      </c>
      <c r="U146" s="13" t="s">
        <v>37</v>
      </c>
      <c r="V146" s="13" t="s">
        <v>38</v>
      </c>
      <c r="W146" s="13" t="s">
        <v>37</v>
      </c>
      <c r="X146" s="13" t="s">
        <v>37</v>
      </c>
      <c r="Y146" s="13" t="s">
        <v>39</v>
      </c>
      <c r="Z146" s="13" t="s">
        <v>37</v>
      </c>
      <c r="AA146" s="13" t="s">
        <v>40</v>
      </c>
      <c r="AB146" s="10">
        <f t="shared" si="4"/>
        <v>11</v>
      </c>
    </row>
    <row r="147">
      <c r="A147" s="8">
        <v>45964.78244967593</v>
      </c>
      <c r="B147" s="9">
        <v>146.0</v>
      </c>
      <c r="C147" s="10" t="str">
        <f t="shared" si="1"/>
        <v>LUCAS FERREIRA SPERANDIO </v>
      </c>
      <c r="D147" s="9" t="s">
        <v>418</v>
      </c>
      <c r="E147" s="11">
        <v>44257.0</v>
      </c>
      <c r="F147" s="10">
        <f t="shared" si="2"/>
        <v>4</v>
      </c>
      <c r="G147" s="10" t="str">
        <f t="shared" si="3"/>
        <v>março</v>
      </c>
      <c r="H147" s="9">
        <v>2.7997969899E10</v>
      </c>
      <c r="I147" s="13" t="s">
        <v>29</v>
      </c>
      <c r="J147" s="10"/>
      <c r="K147" s="13" t="s">
        <v>30</v>
      </c>
      <c r="L147" s="10"/>
      <c r="M147" s="9" t="s">
        <v>419</v>
      </c>
      <c r="N147" s="9" t="s">
        <v>101</v>
      </c>
      <c r="O147" s="9">
        <v>67.0</v>
      </c>
      <c r="P147" s="9" t="s">
        <v>244</v>
      </c>
      <c r="Q147" s="9" t="s">
        <v>35</v>
      </c>
      <c r="R147" s="9" t="s">
        <v>36</v>
      </c>
      <c r="S147" s="9">
        <v>2.914356E7</v>
      </c>
      <c r="T147" s="13" t="s">
        <v>37</v>
      </c>
      <c r="U147" s="13" t="s">
        <v>37</v>
      </c>
      <c r="V147" s="13" t="s">
        <v>38</v>
      </c>
      <c r="W147" s="13" t="s">
        <v>37</v>
      </c>
      <c r="X147" s="13" t="s">
        <v>37</v>
      </c>
      <c r="Y147" s="13" t="s">
        <v>39</v>
      </c>
      <c r="Z147" s="13" t="s">
        <v>37</v>
      </c>
      <c r="AA147" s="13" t="s">
        <v>40</v>
      </c>
      <c r="AB147" s="10">
        <f t="shared" si="4"/>
        <v>3</v>
      </c>
    </row>
    <row r="148">
      <c r="A148" s="8">
        <v>45964.837219548615</v>
      </c>
      <c r="B148" s="9">
        <v>147.0</v>
      </c>
      <c r="C148" s="10" t="str">
        <f t="shared" si="1"/>
        <v>LIZ FERREIRA PAULINO </v>
      </c>
      <c r="D148" s="9" t="s">
        <v>420</v>
      </c>
      <c r="E148" s="11">
        <v>44868.0</v>
      </c>
      <c r="F148" s="10">
        <f t="shared" si="2"/>
        <v>3</v>
      </c>
      <c r="G148" s="10" t="str">
        <f t="shared" si="3"/>
        <v>novembro</v>
      </c>
      <c r="H148" s="9">
        <v>2.7999197541E10</v>
      </c>
      <c r="I148" s="13" t="s">
        <v>42</v>
      </c>
      <c r="J148" s="10"/>
      <c r="K148" s="13" t="s">
        <v>30</v>
      </c>
      <c r="L148" s="10"/>
      <c r="M148" s="9" t="s">
        <v>417</v>
      </c>
      <c r="N148" s="9" t="s">
        <v>303</v>
      </c>
      <c r="O148" s="9">
        <v>237.0</v>
      </c>
      <c r="P148" s="9" t="s">
        <v>60</v>
      </c>
      <c r="Q148" s="9" t="s">
        <v>35</v>
      </c>
      <c r="R148" s="9" t="s">
        <v>36</v>
      </c>
      <c r="S148" s="9" t="s">
        <v>188</v>
      </c>
      <c r="T148" s="13" t="s">
        <v>37</v>
      </c>
      <c r="U148" s="13" t="s">
        <v>37</v>
      </c>
      <c r="V148" s="13" t="s">
        <v>38</v>
      </c>
      <c r="W148" s="13" t="s">
        <v>37</v>
      </c>
      <c r="X148" s="13" t="s">
        <v>37</v>
      </c>
      <c r="Y148" s="13" t="s">
        <v>39</v>
      </c>
      <c r="Z148" s="13" t="s">
        <v>37</v>
      </c>
      <c r="AA148" s="13" t="s">
        <v>40</v>
      </c>
      <c r="AB148" s="10">
        <f t="shared" si="4"/>
        <v>11</v>
      </c>
    </row>
    <row r="149">
      <c r="A149" s="8">
        <v>45965.349404583336</v>
      </c>
      <c r="B149" s="9">
        <v>148.0</v>
      </c>
      <c r="C149" s="10" t="str">
        <f t="shared" si="1"/>
        <v>SOFIA DE OLIVEIRA REIS </v>
      </c>
      <c r="D149" s="9" t="s">
        <v>421</v>
      </c>
      <c r="E149" s="11">
        <v>45615.0</v>
      </c>
      <c r="F149" s="10">
        <f t="shared" si="2"/>
        <v>0</v>
      </c>
      <c r="G149" s="10" t="str">
        <f t="shared" si="3"/>
        <v>novembro</v>
      </c>
      <c r="H149" s="9" t="s">
        <v>422</v>
      </c>
      <c r="I149" s="13" t="s">
        <v>42</v>
      </c>
      <c r="J149" s="10"/>
      <c r="K149" s="13" t="s">
        <v>30</v>
      </c>
      <c r="L149" s="10"/>
      <c r="M149" s="9" t="s">
        <v>417</v>
      </c>
      <c r="N149" s="9" t="s">
        <v>423</v>
      </c>
      <c r="O149" s="9">
        <v>216.0</v>
      </c>
      <c r="P149" s="9" t="s">
        <v>60</v>
      </c>
      <c r="Q149" s="9" t="s">
        <v>35</v>
      </c>
      <c r="R149" s="9" t="s">
        <v>36</v>
      </c>
      <c r="S149" s="9">
        <v>2.9143508E7</v>
      </c>
      <c r="T149" s="13" t="s">
        <v>37</v>
      </c>
      <c r="U149" s="13" t="s">
        <v>37</v>
      </c>
      <c r="V149" s="13" t="s">
        <v>38</v>
      </c>
      <c r="W149" s="13" t="s">
        <v>37</v>
      </c>
      <c r="X149" s="13" t="s">
        <v>37</v>
      </c>
      <c r="Y149" s="13" t="s">
        <v>39</v>
      </c>
      <c r="Z149" s="13" t="s">
        <v>37</v>
      </c>
      <c r="AA149" s="13" t="s">
        <v>40</v>
      </c>
      <c r="AB149" s="10">
        <f t="shared" si="4"/>
        <v>11</v>
      </c>
    </row>
    <row r="150">
      <c r="A150" s="8">
        <v>45965.40136387732</v>
      </c>
      <c r="B150" s="9">
        <v>149.0</v>
      </c>
      <c r="C150" s="10" t="str">
        <f t="shared" si="1"/>
        <v>JOHN MOUSINHO ANDRADE </v>
      </c>
      <c r="D150" s="9" t="s">
        <v>424</v>
      </c>
      <c r="E150" s="11">
        <v>45615.0</v>
      </c>
      <c r="F150" s="10">
        <f t="shared" si="2"/>
        <v>0</v>
      </c>
      <c r="G150" s="10" t="str">
        <f t="shared" si="3"/>
        <v>novembro</v>
      </c>
      <c r="H150" s="9">
        <v>2.799642297E10</v>
      </c>
      <c r="I150" s="13" t="s">
        <v>29</v>
      </c>
      <c r="J150" s="10"/>
      <c r="K150" s="13" t="s">
        <v>30</v>
      </c>
      <c r="L150" s="10"/>
      <c r="M150" s="9" t="s">
        <v>425</v>
      </c>
      <c r="N150" s="9" t="s">
        <v>426</v>
      </c>
      <c r="O150" s="9">
        <v>18.0</v>
      </c>
      <c r="P150" s="9" t="s">
        <v>80</v>
      </c>
      <c r="Q150" s="9" t="s">
        <v>35</v>
      </c>
      <c r="R150" s="9" t="s">
        <v>36</v>
      </c>
      <c r="S150" s="9">
        <v>2.9146605E7</v>
      </c>
      <c r="T150" s="13" t="s">
        <v>37</v>
      </c>
      <c r="U150" s="13" t="s">
        <v>37</v>
      </c>
      <c r="V150" s="13" t="s">
        <v>38</v>
      </c>
      <c r="W150" s="13" t="s">
        <v>37</v>
      </c>
      <c r="X150" s="13" t="s">
        <v>37</v>
      </c>
      <c r="Y150" s="13" t="s">
        <v>39</v>
      </c>
      <c r="Z150" s="13" t="s">
        <v>37</v>
      </c>
      <c r="AA150" s="13" t="s">
        <v>40</v>
      </c>
      <c r="AB150" s="10">
        <f t="shared" si="4"/>
        <v>11</v>
      </c>
    </row>
    <row r="151">
      <c r="A151" s="39">
        <v>45965.51255770834</v>
      </c>
      <c r="B151" s="40">
        <v>150.0</v>
      </c>
      <c r="C151" s="41" t="str">
        <f t="shared" si="1"/>
        <v>LOHANNA OLIVEIRA SANTOS </v>
      </c>
      <c r="D151" s="40" t="s">
        <v>427</v>
      </c>
      <c r="E151" s="42">
        <v>34701.0</v>
      </c>
      <c r="F151" s="41">
        <f t="shared" si="2"/>
        <v>30</v>
      </c>
      <c r="G151" s="41" t="str">
        <f t="shared" si="3"/>
        <v>janeiro</v>
      </c>
      <c r="H151" s="40">
        <v>2.7998728986E10</v>
      </c>
      <c r="I151" s="43" t="s">
        <v>42</v>
      </c>
      <c r="J151" s="41"/>
      <c r="K151" s="43" t="s">
        <v>49</v>
      </c>
      <c r="L151" s="40" t="s">
        <v>428</v>
      </c>
      <c r="M151" s="40" t="s">
        <v>429</v>
      </c>
      <c r="N151" s="40" t="s">
        <v>430</v>
      </c>
      <c r="O151" s="40">
        <v>1.0</v>
      </c>
      <c r="P151" s="40" t="s">
        <v>355</v>
      </c>
      <c r="Q151" s="40" t="s">
        <v>35</v>
      </c>
      <c r="R151" s="40" t="s">
        <v>36</v>
      </c>
      <c r="S151" s="40">
        <v>2.9144416E7</v>
      </c>
      <c r="T151" s="43" t="s">
        <v>47</v>
      </c>
      <c r="U151" s="43" t="s">
        <v>37</v>
      </c>
      <c r="V151" s="43" t="s">
        <v>38</v>
      </c>
      <c r="W151" s="43" t="s">
        <v>37</v>
      </c>
      <c r="X151" s="43" t="s">
        <v>37</v>
      </c>
      <c r="Y151" s="43" t="s">
        <v>69</v>
      </c>
      <c r="Z151" s="43" t="s">
        <v>37</v>
      </c>
      <c r="AA151" s="43" t="s">
        <v>40</v>
      </c>
      <c r="AB151" s="41">
        <f t="shared" si="4"/>
        <v>1</v>
      </c>
    </row>
    <row r="152" ht="25.5" customHeight="1">
      <c r="A152" s="44"/>
      <c r="B152" s="44"/>
      <c r="C152" s="44"/>
      <c r="D152" s="44"/>
      <c r="E152" s="45"/>
      <c r="F152" s="46"/>
      <c r="G152" s="47"/>
      <c r="H152" s="48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9"/>
      <c r="T152" s="44"/>
      <c r="U152" s="44"/>
      <c r="V152" s="44"/>
      <c r="W152" s="44"/>
      <c r="X152" s="44"/>
      <c r="Y152" s="44"/>
      <c r="Z152" s="44"/>
      <c r="AA152" s="44"/>
      <c r="AB152" s="44"/>
    </row>
    <row r="153" ht="25.5" customHeight="1">
      <c r="A153" s="44"/>
      <c r="B153" s="44"/>
      <c r="C153" s="44"/>
      <c r="D153" s="44"/>
      <c r="E153" s="45"/>
      <c r="F153" s="46"/>
      <c r="G153" s="47"/>
      <c r="H153" s="48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9"/>
      <c r="T153" s="44"/>
      <c r="U153" s="44"/>
      <c r="V153" s="44"/>
      <c r="W153" s="44"/>
      <c r="X153" s="44"/>
      <c r="Y153" s="44"/>
      <c r="Z153" s="44"/>
      <c r="AA153" s="44"/>
      <c r="AB153" s="44"/>
    </row>
    <row r="154" ht="25.5" customHeight="1">
      <c r="A154" s="44"/>
      <c r="B154" s="44"/>
      <c r="C154" s="44"/>
      <c r="D154" s="44"/>
      <c r="E154" s="45"/>
      <c r="F154" s="46"/>
      <c r="G154" s="47"/>
      <c r="H154" s="48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9"/>
      <c r="T154" s="44"/>
      <c r="U154" s="44"/>
      <c r="V154" s="44"/>
      <c r="W154" s="44"/>
      <c r="X154" s="44"/>
      <c r="Y154" s="44"/>
      <c r="Z154" s="44"/>
      <c r="AA154" s="44"/>
      <c r="AB154" s="44"/>
    </row>
    <row r="155" ht="25.5" customHeight="1">
      <c r="A155" s="44"/>
      <c r="B155" s="44"/>
      <c r="C155" s="44"/>
      <c r="D155" s="44"/>
      <c r="E155" s="45"/>
      <c r="F155" s="46"/>
      <c r="G155" s="47"/>
      <c r="H155" s="48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9"/>
      <c r="T155" s="44"/>
      <c r="U155" s="44"/>
      <c r="V155" s="44"/>
      <c r="W155" s="44"/>
      <c r="X155" s="44"/>
      <c r="Y155" s="44"/>
      <c r="Z155" s="44"/>
      <c r="AA155" s="44"/>
      <c r="AB155" s="44"/>
    </row>
    <row r="156" ht="25.5" customHeight="1">
      <c r="A156" s="44"/>
      <c r="B156" s="44"/>
      <c r="C156" s="44"/>
      <c r="D156" s="44"/>
      <c r="E156" s="45"/>
      <c r="F156" s="46"/>
      <c r="G156" s="47"/>
      <c r="H156" s="48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9"/>
      <c r="T156" s="44"/>
      <c r="U156" s="44"/>
      <c r="V156" s="44"/>
      <c r="W156" s="44"/>
      <c r="X156" s="44"/>
      <c r="Y156" s="44"/>
      <c r="Z156" s="44"/>
      <c r="AA156" s="44"/>
      <c r="AB156" s="44"/>
    </row>
    <row r="157" ht="25.5" customHeight="1">
      <c r="A157" s="44"/>
      <c r="B157" s="44"/>
      <c r="C157" s="44"/>
      <c r="D157" s="44"/>
      <c r="E157" s="45"/>
      <c r="F157" s="46"/>
      <c r="G157" s="47"/>
      <c r="H157" s="48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9"/>
      <c r="T157" s="44"/>
      <c r="U157" s="44"/>
      <c r="V157" s="44"/>
      <c r="W157" s="44"/>
      <c r="X157" s="44"/>
      <c r="Y157" s="44"/>
      <c r="Z157" s="44"/>
      <c r="AA157" s="44"/>
      <c r="AB157" s="44"/>
    </row>
    <row r="158" ht="25.5" customHeight="1">
      <c r="A158" s="44"/>
      <c r="B158" s="44"/>
      <c r="C158" s="44"/>
      <c r="D158" s="44"/>
      <c r="E158" s="45"/>
      <c r="F158" s="46"/>
      <c r="G158" s="47"/>
      <c r="H158" s="48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9"/>
      <c r="T158" s="44"/>
      <c r="U158" s="44"/>
      <c r="V158" s="44"/>
      <c r="W158" s="44"/>
      <c r="X158" s="44"/>
      <c r="Y158" s="44"/>
      <c r="Z158" s="44"/>
      <c r="AA158" s="44"/>
      <c r="AB158" s="44"/>
    </row>
    <row r="159" ht="25.5" customHeight="1">
      <c r="A159" s="44"/>
      <c r="B159" s="44"/>
      <c r="C159" s="44"/>
      <c r="D159" s="44"/>
      <c r="E159" s="45"/>
      <c r="F159" s="46"/>
      <c r="G159" s="47"/>
      <c r="H159" s="48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9"/>
      <c r="T159" s="44"/>
      <c r="U159" s="44"/>
      <c r="V159" s="44"/>
      <c r="W159" s="44"/>
      <c r="X159" s="44"/>
      <c r="Y159" s="44"/>
      <c r="Z159" s="44"/>
      <c r="AA159" s="44"/>
      <c r="AB159" s="44"/>
    </row>
    <row r="160" ht="25.5" customHeight="1">
      <c r="A160" s="44"/>
      <c r="B160" s="44"/>
      <c r="C160" s="44"/>
      <c r="D160" s="44"/>
      <c r="E160" s="45"/>
      <c r="F160" s="46"/>
      <c r="G160" s="47"/>
      <c r="H160" s="48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9"/>
      <c r="T160" s="44"/>
      <c r="U160" s="44"/>
      <c r="V160" s="44"/>
      <c r="W160" s="44"/>
      <c r="X160" s="44"/>
      <c r="Y160" s="44"/>
      <c r="Z160" s="44"/>
      <c r="AA160" s="44"/>
      <c r="AB160" s="44"/>
    </row>
    <row r="161" ht="25.5" customHeight="1">
      <c r="A161" s="44"/>
      <c r="B161" s="44"/>
      <c r="C161" s="44"/>
      <c r="D161" s="44"/>
      <c r="E161" s="45"/>
      <c r="F161" s="46"/>
      <c r="G161" s="47"/>
      <c r="H161" s="48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9"/>
      <c r="T161" s="44"/>
      <c r="U161" s="44"/>
      <c r="V161" s="44"/>
      <c r="W161" s="44"/>
      <c r="X161" s="44"/>
      <c r="Y161" s="44"/>
      <c r="Z161" s="44"/>
      <c r="AA161" s="44"/>
      <c r="AB161" s="44"/>
    </row>
    <row r="162" ht="25.5" customHeight="1">
      <c r="A162" s="44"/>
      <c r="B162" s="44"/>
      <c r="C162" s="44"/>
      <c r="D162" s="44"/>
      <c r="E162" s="45"/>
      <c r="F162" s="46"/>
      <c r="G162" s="47"/>
      <c r="H162" s="48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9"/>
      <c r="T162" s="44"/>
      <c r="U162" s="44"/>
      <c r="V162" s="44"/>
      <c r="W162" s="44"/>
      <c r="X162" s="44"/>
      <c r="Y162" s="44"/>
      <c r="Z162" s="44"/>
      <c r="AA162" s="44"/>
      <c r="AB162" s="44"/>
    </row>
    <row r="163" ht="25.5" customHeight="1">
      <c r="A163" s="44"/>
      <c r="B163" s="44"/>
      <c r="C163" s="44"/>
      <c r="D163" s="44"/>
      <c r="E163" s="45"/>
      <c r="F163" s="46"/>
      <c r="G163" s="47"/>
      <c r="H163" s="48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9"/>
      <c r="T163" s="44"/>
      <c r="U163" s="44"/>
      <c r="V163" s="44"/>
      <c r="W163" s="44"/>
      <c r="X163" s="44"/>
      <c r="Y163" s="44"/>
      <c r="Z163" s="44"/>
      <c r="AA163" s="44"/>
      <c r="AB163" s="44"/>
    </row>
    <row r="164" ht="25.5" customHeight="1">
      <c r="A164" s="44"/>
      <c r="B164" s="44"/>
      <c r="C164" s="44"/>
      <c r="D164" s="44"/>
      <c r="E164" s="45"/>
      <c r="F164" s="46"/>
      <c r="G164" s="47"/>
      <c r="H164" s="48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9"/>
      <c r="T164" s="44"/>
      <c r="U164" s="44"/>
      <c r="V164" s="44"/>
      <c r="W164" s="44"/>
      <c r="X164" s="44"/>
      <c r="Y164" s="44"/>
      <c r="Z164" s="44"/>
      <c r="AA164" s="44"/>
      <c r="AB164" s="44"/>
    </row>
    <row r="165" ht="25.5" customHeight="1">
      <c r="A165" s="44"/>
      <c r="B165" s="44"/>
      <c r="C165" s="44"/>
      <c r="D165" s="44"/>
      <c r="E165" s="45"/>
      <c r="F165" s="46"/>
      <c r="G165" s="47"/>
      <c r="H165" s="48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9"/>
      <c r="T165" s="44"/>
      <c r="U165" s="44"/>
      <c r="V165" s="44"/>
      <c r="W165" s="44"/>
      <c r="X165" s="44"/>
      <c r="Y165" s="44"/>
      <c r="Z165" s="44"/>
      <c r="AA165" s="44"/>
      <c r="AB165" s="44"/>
    </row>
    <row r="166" ht="25.5" customHeight="1">
      <c r="A166" s="44"/>
      <c r="B166" s="44"/>
      <c r="C166" s="44"/>
      <c r="D166" s="44"/>
      <c r="E166" s="45"/>
      <c r="F166" s="46"/>
      <c r="G166" s="47"/>
      <c r="H166" s="48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9"/>
      <c r="T166" s="44"/>
      <c r="U166" s="44"/>
      <c r="V166" s="44"/>
      <c r="W166" s="44"/>
      <c r="X166" s="44"/>
      <c r="Y166" s="44"/>
      <c r="Z166" s="44"/>
      <c r="AA166" s="44"/>
      <c r="AB166" s="44"/>
    </row>
    <row r="167" ht="25.5" customHeight="1">
      <c r="A167" s="44"/>
      <c r="B167" s="44"/>
      <c r="C167" s="44"/>
      <c r="D167" s="44"/>
      <c r="E167" s="45"/>
      <c r="F167" s="46"/>
      <c r="G167" s="47"/>
      <c r="H167" s="48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9"/>
      <c r="T167" s="44"/>
      <c r="U167" s="44"/>
      <c r="V167" s="44"/>
      <c r="W167" s="44"/>
      <c r="X167" s="44"/>
      <c r="Y167" s="44"/>
      <c r="Z167" s="44"/>
      <c r="AA167" s="44"/>
      <c r="AB167" s="44"/>
    </row>
    <row r="168" ht="25.5" customHeight="1">
      <c r="A168" s="44"/>
      <c r="B168" s="44"/>
      <c r="C168" s="44"/>
      <c r="D168" s="44"/>
      <c r="E168" s="45"/>
      <c r="F168" s="46"/>
      <c r="G168" s="47"/>
      <c r="H168" s="48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9"/>
      <c r="T168" s="44"/>
      <c r="U168" s="44"/>
      <c r="V168" s="44"/>
      <c r="W168" s="44"/>
      <c r="X168" s="44"/>
      <c r="Y168" s="44"/>
      <c r="Z168" s="44"/>
      <c r="AA168" s="44"/>
      <c r="AB168" s="44"/>
    </row>
    <row r="169" ht="25.5" customHeight="1">
      <c r="A169" s="44"/>
      <c r="B169" s="44"/>
      <c r="C169" s="44"/>
      <c r="D169" s="44"/>
      <c r="E169" s="45"/>
      <c r="F169" s="46"/>
      <c r="G169" s="47"/>
      <c r="H169" s="48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9"/>
      <c r="T169" s="44"/>
      <c r="U169" s="44"/>
      <c r="V169" s="44"/>
      <c r="W169" s="44"/>
      <c r="X169" s="44"/>
      <c r="Y169" s="44"/>
      <c r="Z169" s="44"/>
      <c r="AA169" s="44"/>
      <c r="AB169" s="44"/>
    </row>
    <row r="170" ht="25.5" customHeight="1">
      <c r="A170" s="44"/>
      <c r="B170" s="44"/>
      <c r="C170" s="44"/>
      <c r="D170" s="44"/>
      <c r="E170" s="45"/>
      <c r="F170" s="46"/>
      <c r="G170" s="47"/>
      <c r="H170" s="48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9"/>
      <c r="T170" s="44"/>
      <c r="U170" s="44"/>
      <c r="V170" s="44"/>
      <c r="W170" s="44"/>
      <c r="X170" s="44"/>
      <c r="Y170" s="44"/>
      <c r="Z170" s="44"/>
      <c r="AA170" s="44"/>
      <c r="AB170" s="44"/>
    </row>
    <row r="171" ht="25.5" customHeight="1">
      <c r="A171" s="44"/>
      <c r="B171" s="44"/>
      <c r="C171" s="44"/>
      <c r="D171" s="44"/>
      <c r="E171" s="45"/>
      <c r="F171" s="46"/>
      <c r="G171" s="47"/>
      <c r="H171" s="48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9"/>
      <c r="T171" s="44"/>
      <c r="U171" s="44"/>
      <c r="V171" s="44"/>
      <c r="W171" s="44"/>
      <c r="X171" s="44"/>
      <c r="Y171" s="44"/>
      <c r="Z171" s="44"/>
      <c r="AA171" s="44"/>
      <c r="AB171" s="44"/>
    </row>
    <row r="172" ht="25.5" customHeight="1">
      <c r="A172" s="44"/>
      <c r="B172" s="44"/>
      <c r="C172" s="44"/>
      <c r="D172" s="44"/>
      <c r="E172" s="45"/>
      <c r="F172" s="46"/>
      <c r="G172" s="47"/>
      <c r="H172" s="48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9"/>
      <c r="T172" s="44"/>
      <c r="U172" s="44"/>
      <c r="V172" s="44"/>
      <c r="W172" s="44"/>
      <c r="X172" s="44"/>
      <c r="Y172" s="44"/>
      <c r="Z172" s="44"/>
      <c r="AA172" s="44"/>
      <c r="AB172" s="44"/>
    </row>
    <row r="173" ht="25.5" customHeight="1">
      <c r="A173" s="44"/>
      <c r="B173" s="44"/>
      <c r="C173" s="44"/>
      <c r="D173" s="44"/>
      <c r="E173" s="45"/>
      <c r="F173" s="46"/>
      <c r="G173" s="47"/>
      <c r="H173" s="48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9"/>
      <c r="T173" s="44"/>
      <c r="U173" s="44"/>
      <c r="V173" s="44"/>
      <c r="W173" s="44"/>
      <c r="X173" s="44"/>
      <c r="Y173" s="44"/>
      <c r="Z173" s="44"/>
      <c r="AA173" s="44"/>
      <c r="AB173" s="44"/>
    </row>
    <row r="174" ht="25.5" customHeight="1">
      <c r="A174" s="44"/>
      <c r="B174" s="44"/>
      <c r="C174" s="44"/>
      <c r="D174" s="44"/>
      <c r="E174" s="45"/>
      <c r="F174" s="46"/>
      <c r="G174" s="47"/>
      <c r="H174" s="48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9"/>
      <c r="T174" s="44"/>
      <c r="U174" s="44"/>
      <c r="V174" s="44"/>
      <c r="W174" s="44"/>
      <c r="X174" s="44"/>
      <c r="Y174" s="44"/>
      <c r="Z174" s="44"/>
      <c r="AA174" s="44"/>
      <c r="AB174" s="44"/>
    </row>
    <row r="175" ht="25.5" customHeight="1">
      <c r="A175" s="44"/>
      <c r="B175" s="44"/>
      <c r="C175" s="44"/>
      <c r="D175" s="44"/>
      <c r="E175" s="45"/>
      <c r="F175" s="46"/>
      <c r="G175" s="47"/>
      <c r="H175" s="48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9"/>
      <c r="T175" s="44"/>
      <c r="U175" s="44"/>
      <c r="V175" s="44"/>
      <c r="W175" s="44"/>
      <c r="X175" s="44"/>
      <c r="Y175" s="44"/>
      <c r="Z175" s="44"/>
      <c r="AA175" s="44"/>
      <c r="AB175" s="44"/>
    </row>
    <row r="176" ht="25.5" customHeight="1">
      <c r="A176" s="44"/>
      <c r="B176" s="44"/>
      <c r="C176" s="44"/>
      <c r="D176" s="44"/>
      <c r="E176" s="45"/>
      <c r="F176" s="46"/>
      <c r="G176" s="47"/>
      <c r="H176" s="48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9"/>
      <c r="T176" s="44"/>
      <c r="U176" s="44"/>
      <c r="V176" s="44"/>
      <c r="W176" s="44"/>
      <c r="X176" s="44"/>
      <c r="Y176" s="44"/>
      <c r="Z176" s="44"/>
      <c r="AA176" s="44"/>
      <c r="AB176" s="44"/>
    </row>
    <row r="177" ht="25.5" customHeight="1">
      <c r="A177" s="44"/>
      <c r="B177" s="44"/>
      <c r="C177" s="44"/>
      <c r="D177" s="44"/>
      <c r="E177" s="45"/>
      <c r="F177" s="46"/>
      <c r="G177" s="47"/>
      <c r="H177" s="48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9"/>
      <c r="T177" s="44"/>
      <c r="U177" s="44"/>
      <c r="V177" s="44"/>
      <c r="W177" s="44"/>
      <c r="X177" s="44"/>
      <c r="Y177" s="44"/>
      <c r="Z177" s="44"/>
      <c r="AA177" s="44"/>
      <c r="AB177" s="44"/>
    </row>
    <row r="178" ht="25.5" customHeight="1">
      <c r="A178" s="44"/>
      <c r="B178" s="44"/>
      <c r="C178" s="44"/>
      <c r="D178" s="44"/>
      <c r="E178" s="45"/>
      <c r="F178" s="46"/>
      <c r="G178" s="47"/>
      <c r="H178" s="48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9"/>
      <c r="T178" s="44"/>
      <c r="U178" s="44"/>
      <c r="V178" s="44"/>
      <c r="W178" s="44"/>
      <c r="X178" s="44"/>
      <c r="Y178" s="44"/>
      <c r="Z178" s="44"/>
      <c r="AA178" s="44"/>
      <c r="AB178" s="44"/>
    </row>
    <row r="179" ht="25.5" customHeight="1">
      <c r="A179" s="44"/>
      <c r="B179" s="44"/>
      <c r="C179" s="44"/>
      <c r="D179" s="44"/>
      <c r="E179" s="45"/>
      <c r="F179" s="46"/>
      <c r="G179" s="47"/>
      <c r="H179" s="48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9"/>
      <c r="T179" s="44"/>
      <c r="U179" s="44"/>
      <c r="V179" s="44"/>
      <c r="W179" s="44"/>
      <c r="X179" s="44"/>
      <c r="Y179" s="44"/>
      <c r="Z179" s="44"/>
      <c r="AA179" s="44"/>
      <c r="AB179" s="44"/>
    </row>
    <row r="180" ht="25.5" customHeight="1">
      <c r="A180" s="44"/>
      <c r="B180" s="44"/>
      <c r="C180" s="44"/>
      <c r="D180" s="44"/>
      <c r="E180" s="45"/>
      <c r="F180" s="46"/>
      <c r="G180" s="47"/>
      <c r="H180" s="48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9"/>
      <c r="T180" s="44"/>
      <c r="U180" s="44"/>
      <c r="V180" s="44"/>
      <c r="W180" s="44"/>
      <c r="X180" s="44"/>
      <c r="Y180" s="44"/>
      <c r="Z180" s="44"/>
      <c r="AA180" s="44"/>
      <c r="AB180" s="44"/>
    </row>
    <row r="181" ht="25.5" customHeight="1">
      <c r="A181" s="44"/>
      <c r="B181" s="44"/>
      <c r="C181" s="44"/>
      <c r="D181" s="44"/>
      <c r="E181" s="45"/>
      <c r="F181" s="46"/>
      <c r="G181" s="47"/>
      <c r="H181" s="48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9"/>
      <c r="T181" s="44"/>
      <c r="U181" s="44"/>
      <c r="V181" s="44"/>
      <c r="W181" s="44"/>
      <c r="X181" s="44"/>
      <c r="Y181" s="44"/>
      <c r="Z181" s="44"/>
      <c r="AA181" s="44"/>
      <c r="AB181" s="44"/>
    </row>
    <row r="182" ht="25.5" customHeight="1">
      <c r="A182" s="44"/>
      <c r="B182" s="44"/>
      <c r="C182" s="44"/>
      <c r="D182" s="44"/>
      <c r="E182" s="45"/>
      <c r="F182" s="46"/>
      <c r="G182" s="47"/>
      <c r="H182" s="48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9"/>
      <c r="T182" s="44"/>
      <c r="U182" s="44"/>
      <c r="V182" s="44"/>
      <c r="W182" s="44"/>
      <c r="X182" s="44"/>
      <c r="Y182" s="44"/>
      <c r="Z182" s="44"/>
      <c r="AA182" s="44"/>
      <c r="AB182" s="44"/>
    </row>
    <row r="183" ht="25.5" customHeight="1">
      <c r="A183" s="44"/>
      <c r="B183" s="44"/>
      <c r="C183" s="44"/>
      <c r="D183" s="44"/>
      <c r="E183" s="45"/>
      <c r="F183" s="46"/>
      <c r="G183" s="47"/>
      <c r="H183" s="48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9"/>
      <c r="T183" s="44"/>
      <c r="U183" s="44"/>
      <c r="V183" s="44"/>
      <c r="W183" s="44"/>
      <c r="X183" s="44"/>
      <c r="Y183" s="44"/>
      <c r="Z183" s="44"/>
      <c r="AA183" s="44"/>
      <c r="AB183" s="44"/>
    </row>
    <row r="184" ht="25.5" customHeight="1">
      <c r="A184" s="44"/>
      <c r="B184" s="44"/>
      <c r="C184" s="44"/>
      <c r="D184" s="44"/>
      <c r="E184" s="45"/>
      <c r="F184" s="46"/>
      <c r="G184" s="47"/>
      <c r="H184" s="48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9"/>
      <c r="T184" s="44"/>
      <c r="U184" s="44"/>
      <c r="V184" s="44"/>
      <c r="W184" s="44"/>
      <c r="X184" s="44"/>
      <c r="Y184" s="44"/>
      <c r="Z184" s="44"/>
      <c r="AA184" s="44"/>
      <c r="AB184" s="44"/>
    </row>
    <row r="185" ht="25.5" customHeight="1">
      <c r="A185" s="44"/>
      <c r="B185" s="44"/>
      <c r="C185" s="44"/>
      <c r="D185" s="44"/>
      <c r="E185" s="45"/>
      <c r="F185" s="46"/>
      <c r="G185" s="47"/>
      <c r="H185" s="48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9"/>
      <c r="T185" s="44"/>
      <c r="U185" s="44"/>
      <c r="V185" s="44"/>
      <c r="W185" s="44"/>
      <c r="X185" s="44"/>
      <c r="Y185" s="44"/>
      <c r="Z185" s="44"/>
      <c r="AA185" s="44"/>
      <c r="AB185" s="44"/>
    </row>
    <row r="186" ht="25.5" customHeight="1">
      <c r="A186" s="44"/>
      <c r="B186" s="44"/>
      <c r="C186" s="44"/>
      <c r="D186" s="44"/>
      <c r="E186" s="45"/>
      <c r="F186" s="46"/>
      <c r="G186" s="47"/>
      <c r="H186" s="48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9"/>
      <c r="T186" s="44"/>
      <c r="U186" s="44"/>
      <c r="V186" s="44"/>
      <c r="W186" s="44"/>
      <c r="X186" s="44"/>
      <c r="Y186" s="44"/>
      <c r="Z186" s="44"/>
      <c r="AA186" s="44"/>
      <c r="AB186" s="44"/>
    </row>
    <row r="187" ht="25.5" customHeight="1">
      <c r="A187" s="44"/>
      <c r="B187" s="44"/>
      <c r="C187" s="44"/>
      <c r="D187" s="44"/>
      <c r="E187" s="45"/>
      <c r="F187" s="46"/>
      <c r="G187" s="47"/>
      <c r="H187" s="48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9"/>
      <c r="T187" s="44"/>
      <c r="U187" s="44"/>
      <c r="V187" s="44"/>
      <c r="W187" s="44"/>
      <c r="X187" s="44"/>
      <c r="Y187" s="44"/>
      <c r="Z187" s="44"/>
      <c r="AA187" s="44"/>
      <c r="AB187" s="44"/>
    </row>
    <row r="188" ht="25.5" customHeight="1">
      <c r="A188" s="44"/>
      <c r="B188" s="44"/>
      <c r="C188" s="44"/>
      <c r="D188" s="44"/>
      <c r="E188" s="45"/>
      <c r="F188" s="46"/>
      <c r="G188" s="47"/>
      <c r="H188" s="48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9"/>
      <c r="T188" s="44"/>
      <c r="U188" s="44"/>
      <c r="V188" s="44"/>
      <c r="W188" s="44"/>
      <c r="X188" s="44"/>
      <c r="Y188" s="44"/>
      <c r="Z188" s="44"/>
      <c r="AA188" s="44"/>
      <c r="AB188" s="44"/>
    </row>
    <row r="189" ht="25.5" customHeight="1">
      <c r="A189" s="44"/>
      <c r="B189" s="44"/>
      <c r="C189" s="44"/>
      <c r="D189" s="44"/>
      <c r="E189" s="45"/>
      <c r="F189" s="46"/>
      <c r="G189" s="47"/>
      <c r="H189" s="48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9"/>
      <c r="T189" s="44"/>
      <c r="U189" s="44"/>
      <c r="V189" s="44"/>
      <c r="W189" s="44"/>
      <c r="X189" s="44"/>
      <c r="Y189" s="44"/>
      <c r="Z189" s="44"/>
      <c r="AA189" s="44"/>
      <c r="AB189" s="44"/>
    </row>
    <row r="190" ht="25.5" customHeight="1">
      <c r="A190" s="44"/>
      <c r="B190" s="44"/>
      <c r="C190" s="44"/>
      <c r="D190" s="44"/>
      <c r="E190" s="45"/>
      <c r="F190" s="46"/>
      <c r="G190" s="47"/>
      <c r="H190" s="48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9"/>
      <c r="T190" s="44"/>
      <c r="U190" s="44"/>
      <c r="V190" s="44"/>
      <c r="W190" s="44"/>
      <c r="X190" s="44"/>
      <c r="Y190" s="44"/>
      <c r="Z190" s="44"/>
      <c r="AA190" s="44"/>
      <c r="AB190" s="44"/>
    </row>
    <row r="191" ht="25.5" customHeight="1">
      <c r="A191" s="44"/>
      <c r="B191" s="44"/>
      <c r="C191" s="44"/>
      <c r="D191" s="44"/>
      <c r="E191" s="45"/>
      <c r="F191" s="46"/>
      <c r="G191" s="47"/>
      <c r="H191" s="48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9"/>
      <c r="T191" s="44"/>
      <c r="U191" s="44"/>
      <c r="V191" s="44"/>
      <c r="W191" s="44"/>
      <c r="X191" s="44"/>
      <c r="Y191" s="44"/>
      <c r="Z191" s="44"/>
      <c r="AA191" s="44"/>
      <c r="AB191" s="44"/>
    </row>
    <row r="192" ht="25.5" customHeight="1">
      <c r="A192" s="44"/>
      <c r="B192" s="44"/>
      <c r="C192" s="44"/>
      <c r="D192" s="44"/>
      <c r="E192" s="45"/>
      <c r="F192" s="46"/>
      <c r="G192" s="47"/>
      <c r="H192" s="48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9"/>
      <c r="T192" s="44"/>
      <c r="U192" s="44"/>
      <c r="V192" s="44"/>
      <c r="W192" s="44"/>
      <c r="X192" s="44"/>
      <c r="Y192" s="44"/>
      <c r="Z192" s="44"/>
      <c r="AA192" s="44"/>
      <c r="AB192" s="44"/>
    </row>
    <row r="193" ht="25.5" customHeight="1">
      <c r="A193" s="44"/>
      <c r="B193" s="44"/>
      <c r="C193" s="44"/>
      <c r="D193" s="44"/>
      <c r="E193" s="45"/>
      <c r="F193" s="46"/>
      <c r="G193" s="47"/>
      <c r="H193" s="48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9"/>
      <c r="T193" s="44"/>
      <c r="U193" s="44"/>
      <c r="V193" s="44"/>
      <c r="W193" s="44"/>
      <c r="X193" s="44"/>
      <c r="Y193" s="44"/>
      <c r="Z193" s="44"/>
      <c r="AA193" s="44"/>
      <c r="AB193" s="44"/>
    </row>
    <row r="194" ht="25.5" customHeight="1">
      <c r="A194" s="44"/>
      <c r="B194" s="44"/>
      <c r="C194" s="44"/>
      <c r="D194" s="44"/>
      <c r="E194" s="45"/>
      <c r="F194" s="46"/>
      <c r="G194" s="47"/>
      <c r="H194" s="48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9"/>
      <c r="T194" s="44"/>
      <c r="U194" s="44"/>
      <c r="V194" s="44"/>
      <c r="W194" s="44"/>
      <c r="X194" s="44"/>
      <c r="Y194" s="44"/>
      <c r="Z194" s="44"/>
      <c r="AA194" s="44"/>
      <c r="AB194" s="44"/>
    </row>
    <row r="195" ht="25.5" customHeight="1">
      <c r="A195" s="44"/>
      <c r="B195" s="44"/>
      <c r="C195" s="44"/>
      <c r="D195" s="44"/>
      <c r="E195" s="45"/>
      <c r="F195" s="46"/>
      <c r="G195" s="47"/>
      <c r="H195" s="48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9"/>
      <c r="T195" s="44"/>
      <c r="U195" s="44"/>
      <c r="V195" s="44"/>
      <c r="W195" s="44"/>
      <c r="X195" s="44"/>
      <c r="Y195" s="44"/>
      <c r="Z195" s="44"/>
      <c r="AA195" s="44"/>
      <c r="AB195" s="44"/>
    </row>
    <row r="196" ht="25.5" customHeight="1">
      <c r="A196" s="44"/>
      <c r="B196" s="44"/>
      <c r="C196" s="44"/>
      <c r="D196" s="44"/>
      <c r="E196" s="45"/>
      <c r="F196" s="46"/>
      <c r="G196" s="47"/>
      <c r="H196" s="48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9"/>
      <c r="T196" s="44"/>
      <c r="U196" s="44"/>
      <c r="V196" s="44"/>
      <c r="W196" s="44"/>
      <c r="X196" s="44"/>
      <c r="Y196" s="44"/>
      <c r="Z196" s="44"/>
      <c r="AA196" s="44"/>
      <c r="AB196" s="44"/>
    </row>
    <row r="197" ht="25.5" customHeight="1">
      <c r="A197" s="44"/>
      <c r="B197" s="44"/>
      <c r="C197" s="44"/>
      <c r="D197" s="44"/>
      <c r="E197" s="45"/>
      <c r="F197" s="46"/>
      <c r="G197" s="47"/>
      <c r="H197" s="48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9"/>
      <c r="T197" s="44"/>
      <c r="U197" s="44"/>
      <c r="V197" s="44"/>
      <c r="W197" s="44"/>
      <c r="X197" s="44"/>
      <c r="Y197" s="44"/>
      <c r="Z197" s="44"/>
      <c r="AA197" s="44"/>
      <c r="AB197" s="44"/>
    </row>
    <row r="198" ht="25.5" customHeight="1">
      <c r="A198" s="44"/>
      <c r="B198" s="44"/>
      <c r="C198" s="44"/>
      <c r="D198" s="44"/>
      <c r="E198" s="45"/>
      <c r="F198" s="46"/>
      <c r="G198" s="47"/>
      <c r="H198" s="48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9"/>
      <c r="T198" s="44"/>
      <c r="U198" s="44"/>
      <c r="V198" s="44"/>
      <c r="W198" s="44"/>
      <c r="X198" s="44"/>
      <c r="Y198" s="44"/>
      <c r="Z198" s="44"/>
      <c r="AA198" s="44"/>
      <c r="AB198" s="44"/>
    </row>
    <row r="199" ht="25.5" customHeight="1">
      <c r="A199" s="44"/>
      <c r="B199" s="44"/>
      <c r="C199" s="44"/>
      <c r="D199" s="44"/>
      <c r="E199" s="45"/>
      <c r="F199" s="46"/>
      <c r="G199" s="47"/>
      <c r="H199" s="48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9"/>
      <c r="T199" s="44"/>
      <c r="U199" s="44"/>
      <c r="V199" s="44"/>
      <c r="W199" s="44"/>
      <c r="X199" s="44"/>
      <c r="Y199" s="44"/>
      <c r="Z199" s="44"/>
      <c r="AA199" s="44"/>
      <c r="AB199" s="44"/>
    </row>
    <row r="200" ht="25.5" customHeight="1">
      <c r="A200" s="44"/>
      <c r="B200" s="44"/>
      <c r="C200" s="44"/>
      <c r="D200" s="44"/>
      <c r="E200" s="45"/>
      <c r="F200" s="46"/>
      <c r="G200" s="47"/>
      <c r="H200" s="48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9"/>
      <c r="T200" s="44"/>
      <c r="U200" s="44"/>
      <c r="V200" s="44"/>
      <c r="W200" s="44"/>
      <c r="X200" s="44"/>
      <c r="Y200" s="44"/>
      <c r="Z200" s="44"/>
      <c r="AA200" s="44"/>
      <c r="AB200" s="44"/>
    </row>
    <row r="201" ht="25.5" customHeight="1">
      <c r="A201" s="44"/>
      <c r="B201" s="44"/>
      <c r="C201" s="44"/>
      <c r="D201" s="44"/>
      <c r="E201" s="45"/>
      <c r="F201" s="46"/>
      <c r="G201" s="47"/>
      <c r="H201" s="48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9"/>
      <c r="T201" s="44"/>
      <c r="U201" s="44"/>
      <c r="V201" s="44"/>
      <c r="W201" s="44"/>
      <c r="X201" s="44"/>
      <c r="Y201" s="44"/>
      <c r="Z201" s="44"/>
      <c r="AA201" s="44"/>
      <c r="AB201" s="44"/>
    </row>
    <row r="202" ht="25.5" customHeight="1">
      <c r="A202" s="44"/>
      <c r="B202" s="44"/>
      <c r="C202" s="44"/>
      <c r="D202" s="44"/>
      <c r="E202" s="45"/>
      <c r="F202" s="46"/>
      <c r="G202" s="47"/>
      <c r="H202" s="48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9"/>
      <c r="T202" s="44"/>
      <c r="U202" s="44"/>
      <c r="V202" s="44"/>
      <c r="W202" s="44"/>
      <c r="X202" s="44"/>
      <c r="Y202" s="44"/>
      <c r="Z202" s="44"/>
      <c r="AA202" s="44"/>
      <c r="AB202" s="44"/>
    </row>
    <row r="203" ht="25.5" customHeight="1">
      <c r="A203" s="44"/>
      <c r="B203" s="44"/>
      <c r="C203" s="44"/>
      <c r="D203" s="44"/>
      <c r="E203" s="45"/>
      <c r="F203" s="46"/>
      <c r="G203" s="47"/>
      <c r="H203" s="48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9"/>
      <c r="T203" s="44"/>
      <c r="U203" s="44"/>
      <c r="V203" s="44"/>
      <c r="W203" s="44"/>
      <c r="X203" s="44"/>
      <c r="Y203" s="44"/>
      <c r="Z203" s="44"/>
      <c r="AA203" s="44"/>
      <c r="AB203" s="44"/>
    </row>
    <row r="204" ht="25.5" customHeight="1">
      <c r="A204" s="44"/>
      <c r="B204" s="44"/>
      <c r="C204" s="44"/>
      <c r="D204" s="44"/>
      <c r="E204" s="45"/>
      <c r="F204" s="46"/>
      <c r="G204" s="47"/>
      <c r="H204" s="48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9"/>
      <c r="T204" s="44"/>
      <c r="U204" s="44"/>
      <c r="V204" s="44"/>
      <c r="W204" s="44"/>
      <c r="X204" s="44"/>
      <c r="Y204" s="44"/>
      <c r="Z204" s="44"/>
      <c r="AA204" s="44"/>
      <c r="AB204" s="44"/>
    </row>
    <row r="205" ht="25.5" customHeight="1">
      <c r="A205" s="44"/>
      <c r="B205" s="44"/>
      <c r="C205" s="44"/>
      <c r="D205" s="44"/>
      <c r="E205" s="45"/>
      <c r="F205" s="46"/>
      <c r="G205" s="47"/>
      <c r="H205" s="48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9"/>
      <c r="T205" s="44"/>
      <c r="U205" s="44"/>
      <c r="V205" s="44"/>
      <c r="W205" s="44"/>
      <c r="X205" s="44"/>
      <c r="Y205" s="44"/>
      <c r="Z205" s="44"/>
      <c r="AA205" s="44"/>
      <c r="AB205" s="44"/>
    </row>
    <row r="206" ht="25.5" customHeight="1">
      <c r="A206" s="44"/>
      <c r="B206" s="44"/>
      <c r="C206" s="44"/>
      <c r="D206" s="44"/>
      <c r="E206" s="45"/>
      <c r="F206" s="46"/>
      <c r="G206" s="47"/>
      <c r="H206" s="48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9"/>
      <c r="T206" s="44"/>
      <c r="U206" s="44"/>
      <c r="V206" s="44"/>
      <c r="W206" s="44"/>
      <c r="X206" s="44"/>
      <c r="Y206" s="44"/>
      <c r="Z206" s="44"/>
      <c r="AA206" s="44"/>
      <c r="AB206" s="44"/>
    </row>
    <row r="207" ht="25.5" customHeight="1">
      <c r="A207" s="44"/>
      <c r="B207" s="44"/>
      <c r="C207" s="44"/>
      <c r="D207" s="44"/>
      <c r="E207" s="45"/>
      <c r="F207" s="46"/>
      <c r="G207" s="47"/>
      <c r="H207" s="48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9"/>
      <c r="T207" s="44"/>
      <c r="U207" s="44"/>
      <c r="V207" s="44"/>
      <c r="W207" s="44"/>
      <c r="X207" s="44"/>
      <c r="Y207" s="44"/>
      <c r="Z207" s="44"/>
      <c r="AA207" s="44"/>
      <c r="AB207" s="44"/>
    </row>
    <row r="208" ht="25.5" customHeight="1">
      <c r="A208" s="44"/>
      <c r="B208" s="44"/>
      <c r="C208" s="44"/>
      <c r="D208" s="44"/>
      <c r="E208" s="45"/>
      <c r="F208" s="46"/>
      <c r="G208" s="47"/>
      <c r="H208" s="48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9"/>
      <c r="T208" s="44"/>
      <c r="U208" s="44"/>
      <c r="V208" s="44"/>
      <c r="W208" s="44"/>
      <c r="X208" s="44"/>
      <c r="Y208" s="44"/>
      <c r="Z208" s="44"/>
      <c r="AA208" s="44"/>
      <c r="AB208" s="44"/>
    </row>
    <row r="209" ht="25.5" customHeight="1">
      <c r="A209" s="44"/>
      <c r="B209" s="44"/>
      <c r="C209" s="44"/>
      <c r="D209" s="44"/>
      <c r="E209" s="45"/>
      <c r="F209" s="46"/>
      <c r="G209" s="47"/>
      <c r="H209" s="48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9"/>
      <c r="T209" s="44"/>
      <c r="U209" s="44"/>
      <c r="V209" s="44"/>
      <c r="W209" s="44"/>
      <c r="X209" s="44"/>
      <c r="Y209" s="44"/>
      <c r="Z209" s="44"/>
      <c r="AA209" s="44"/>
      <c r="AB209" s="44"/>
    </row>
    <row r="210" ht="25.5" customHeight="1">
      <c r="A210" s="44"/>
      <c r="B210" s="44"/>
      <c r="C210" s="44"/>
      <c r="D210" s="44"/>
      <c r="E210" s="45"/>
      <c r="F210" s="46"/>
      <c r="G210" s="47"/>
      <c r="H210" s="48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9"/>
      <c r="T210" s="44"/>
      <c r="U210" s="44"/>
      <c r="V210" s="44"/>
      <c r="W210" s="44"/>
      <c r="X210" s="44"/>
      <c r="Y210" s="44"/>
      <c r="Z210" s="44"/>
      <c r="AA210" s="44"/>
      <c r="AB210" s="44"/>
    </row>
    <row r="211" ht="25.5" customHeight="1">
      <c r="A211" s="44"/>
      <c r="B211" s="44"/>
      <c r="C211" s="44"/>
      <c r="D211" s="44"/>
      <c r="E211" s="45"/>
      <c r="F211" s="46"/>
      <c r="G211" s="47"/>
      <c r="H211" s="48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9"/>
      <c r="T211" s="44"/>
      <c r="U211" s="44"/>
      <c r="V211" s="44"/>
      <c r="W211" s="44"/>
      <c r="X211" s="44"/>
      <c r="Y211" s="44"/>
      <c r="Z211" s="44"/>
      <c r="AA211" s="44"/>
      <c r="AB211" s="44"/>
    </row>
    <row r="212" ht="25.5" customHeight="1">
      <c r="A212" s="44"/>
      <c r="B212" s="44"/>
      <c r="C212" s="44"/>
      <c r="D212" s="44"/>
      <c r="E212" s="45"/>
      <c r="F212" s="46"/>
      <c r="G212" s="47"/>
      <c r="H212" s="48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9"/>
      <c r="T212" s="44"/>
      <c r="U212" s="44"/>
      <c r="V212" s="44"/>
      <c r="W212" s="44"/>
      <c r="X212" s="44"/>
      <c r="Y212" s="44"/>
      <c r="Z212" s="44"/>
      <c r="AA212" s="44"/>
      <c r="AB212" s="44"/>
    </row>
    <row r="213" ht="25.5" customHeight="1">
      <c r="A213" s="44"/>
      <c r="B213" s="44"/>
      <c r="C213" s="44"/>
      <c r="D213" s="44"/>
      <c r="E213" s="45"/>
      <c r="F213" s="46"/>
      <c r="G213" s="47"/>
      <c r="H213" s="48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9"/>
      <c r="T213" s="44"/>
      <c r="U213" s="44"/>
      <c r="V213" s="44"/>
      <c r="W213" s="44"/>
      <c r="X213" s="44"/>
      <c r="Y213" s="44"/>
      <c r="Z213" s="44"/>
      <c r="AA213" s="44"/>
      <c r="AB213" s="44"/>
    </row>
    <row r="214" ht="25.5" customHeight="1">
      <c r="A214" s="44"/>
      <c r="B214" s="44"/>
      <c r="C214" s="44"/>
      <c r="D214" s="44"/>
      <c r="E214" s="45"/>
      <c r="F214" s="46"/>
      <c r="G214" s="47"/>
      <c r="H214" s="48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9"/>
      <c r="T214" s="44"/>
      <c r="U214" s="44"/>
      <c r="V214" s="44"/>
      <c r="W214" s="44"/>
      <c r="X214" s="44"/>
      <c r="Y214" s="44"/>
      <c r="Z214" s="44"/>
      <c r="AA214" s="44"/>
      <c r="AB214" s="44"/>
    </row>
    <row r="215" ht="25.5" customHeight="1">
      <c r="A215" s="44"/>
      <c r="B215" s="44"/>
      <c r="C215" s="44"/>
      <c r="D215" s="44"/>
      <c r="E215" s="45"/>
      <c r="F215" s="46"/>
      <c r="G215" s="47"/>
      <c r="H215" s="48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9"/>
      <c r="T215" s="44"/>
      <c r="U215" s="44"/>
      <c r="V215" s="44"/>
      <c r="W215" s="44"/>
      <c r="X215" s="44"/>
      <c r="Y215" s="44"/>
      <c r="Z215" s="44"/>
      <c r="AA215" s="44"/>
      <c r="AB215" s="44"/>
    </row>
    <row r="216" ht="25.5" customHeight="1">
      <c r="A216" s="44"/>
      <c r="B216" s="44"/>
      <c r="C216" s="44"/>
      <c r="D216" s="44"/>
      <c r="E216" s="45"/>
      <c r="F216" s="46"/>
      <c r="G216" s="47"/>
      <c r="H216" s="48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9"/>
      <c r="T216" s="44"/>
      <c r="U216" s="44"/>
      <c r="V216" s="44"/>
      <c r="W216" s="44"/>
      <c r="X216" s="44"/>
      <c r="Y216" s="44"/>
      <c r="Z216" s="44"/>
      <c r="AA216" s="44"/>
      <c r="AB216" s="44"/>
    </row>
    <row r="217" ht="25.5" customHeight="1">
      <c r="A217" s="44"/>
      <c r="B217" s="44"/>
      <c r="C217" s="44"/>
      <c r="D217" s="44"/>
      <c r="E217" s="45"/>
      <c r="F217" s="46"/>
      <c r="G217" s="47"/>
      <c r="H217" s="48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9"/>
      <c r="T217" s="44"/>
      <c r="U217" s="44"/>
      <c r="V217" s="44"/>
      <c r="W217" s="44"/>
      <c r="X217" s="44"/>
      <c r="Y217" s="44"/>
      <c r="Z217" s="44"/>
      <c r="AA217" s="44"/>
      <c r="AB217" s="44"/>
    </row>
    <row r="218" ht="25.5" customHeight="1">
      <c r="A218" s="44"/>
      <c r="B218" s="44"/>
      <c r="C218" s="44"/>
      <c r="D218" s="44"/>
      <c r="E218" s="45"/>
      <c r="F218" s="46"/>
      <c r="G218" s="47"/>
      <c r="H218" s="48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9"/>
      <c r="T218" s="44"/>
      <c r="U218" s="44"/>
      <c r="V218" s="44"/>
      <c r="W218" s="44"/>
      <c r="X218" s="44"/>
      <c r="Y218" s="44"/>
      <c r="Z218" s="44"/>
      <c r="AA218" s="44"/>
      <c r="AB218" s="44"/>
    </row>
    <row r="219" ht="25.5" customHeight="1">
      <c r="A219" s="44"/>
      <c r="B219" s="44"/>
      <c r="C219" s="44"/>
      <c r="D219" s="44"/>
      <c r="E219" s="45"/>
      <c r="F219" s="46"/>
      <c r="G219" s="47"/>
      <c r="H219" s="48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9"/>
      <c r="T219" s="44"/>
      <c r="U219" s="44"/>
      <c r="V219" s="44"/>
      <c r="W219" s="44"/>
      <c r="X219" s="44"/>
      <c r="Y219" s="44"/>
      <c r="Z219" s="44"/>
      <c r="AA219" s="44"/>
      <c r="AB219" s="44"/>
    </row>
    <row r="220" ht="25.5" customHeight="1">
      <c r="A220" s="44"/>
      <c r="B220" s="44"/>
      <c r="C220" s="44"/>
      <c r="D220" s="44"/>
      <c r="E220" s="45"/>
      <c r="F220" s="46"/>
      <c r="G220" s="47"/>
      <c r="H220" s="48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9"/>
      <c r="T220" s="44"/>
      <c r="U220" s="44"/>
      <c r="V220" s="44"/>
      <c r="W220" s="44"/>
      <c r="X220" s="44"/>
      <c r="Y220" s="44"/>
      <c r="Z220" s="44"/>
      <c r="AA220" s="44"/>
      <c r="AB220" s="44"/>
    </row>
    <row r="221" ht="25.5" customHeight="1">
      <c r="A221" s="44"/>
      <c r="B221" s="44"/>
      <c r="C221" s="44"/>
      <c r="D221" s="44"/>
      <c r="E221" s="45"/>
      <c r="F221" s="46"/>
      <c r="G221" s="47"/>
      <c r="H221" s="48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9"/>
      <c r="T221" s="44"/>
      <c r="U221" s="44"/>
      <c r="V221" s="44"/>
      <c r="W221" s="44"/>
      <c r="X221" s="44"/>
      <c r="Y221" s="44"/>
      <c r="Z221" s="44"/>
      <c r="AA221" s="44"/>
      <c r="AB221" s="44"/>
    </row>
    <row r="222" ht="25.5" customHeight="1">
      <c r="A222" s="44"/>
      <c r="B222" s="44"/>
      <c r="C222" s="44"/>
      <c r="D222" s="44"/>
      <c r="E222" s="45"/>
      <c r="F222" s="46"/>
      <c r="G222" s="47"/>
      <c r="H222" s="48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9"/>
      <c r="T222" s="44"/>
      <c r="U222" s="44"/>
      <c r="V222" s="44"/>
      <c r="W222" s="44"/>
      <c r="X222" s="44"/>
      <c r="Y222" s="44"/>
      <c r="Z222" s="44"/>
      <c r="AA222" s="44"/>
      <c r="AB222" s="44"/>
    </row>
    <row r="223" ht="25.5" customHeight="1">
      <c r="A223" s="44"/>
      <c r="B223" s="44"/>
      <c r="C223" s="44"/>
      <c r="D223" s="44"/>
      <c r="E223" s="45"/>
      <c r="F223" s="46"/>
      <c r="G223" s="47"/>
      <c r="H223" s="48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9"/>
      <c r="T223" s="44"/>
      <c r="U223" s="44"/>
      <c r="V223" s="44"/>
      <c r="W223" s="44"/>
      <c r="X223" s="44"/>
      <c r="Y223" s="44"/>
      <c r="Z223" s="44"/>
      <c r="AA223" s="44"/>
      <c r="AB223" s="44"/>
    </row>
    <row r="224" ht="25.5" customHeight="1">
      <c r="A224" s="44"/>
      <c r="B224" s="44"/>
      <c r="C224" s="44"/>
      <c r="D224" s="44"/>
      <c r="E224" s="45"/>
      <c r="F224" s="46"/>
      <c r="G224" s="47"/>
      <c r="H224" s="48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9"/>
      <c r="T224" s="44"/>
      <c r="U224" s="44"/>
      <c r="V224" s="44"/>
      <c r="W224" s="44"/>
      <c r="X224" s="44"/>
      <c r="Y224" s="44"/>
      <c r="Z224" s="44"/>
      <c r="AA224" s="44"/>
      <c r="AB224" s="44"/>
    </row>
    <row r="225" ht="25.5" customHeight="1">
      <c r="A225" s="44"/>
      <c r="B225" s="44"/>
      <c r="C225" s="44"/>
      <c r="D225" s="44"/>
      <c r="E225" s="45"/>
      <c r="F225" s="46"/>
      <c r="G225" s="47"/>
      <c r="H225" s="48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9"/>
      <c r="T225" s="44"/>
      <c r="U225" s="44"/>
      <c r="V225" s="44"/>
      <c r="W225" s="44"/>
      <c r="X225" s="44"/>
      <c r="Y225" s="44"/>
      <c r="Z225" s="44"/>
      <c r="AA225" s="44"/>
      <c r="AB225" s="44"/>
    </row>
    <row r="226" ht="25.5" customHeight="1">
      <c r="A226" s="44"/>
      <c r="B226" s="44"/>
      <c r="C226" s="44"/>
      <c r="D226" s="44"/>
      <c r="E226" s="45"/>
      <c r="F226" s="46"/>
      <c r="G226" s="47"/>
      <c r="H226" s="48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9"/>
      <c r="T226" s="44"/>
      <c r="U226" s="44"/>
      <c r="V226" s="44"/>
      <c r="W226" s="44"/>
      <c r="X226" s="44"/>
      <c r="Y226" s="44"/>
      <c r="Z226" s="44"/>
      <c r="AA226" s="44"/>
      <c r="AB226" s="44"/>
    </row>
    <row r="227" ht="25.5" customHeight="1">
      <c r="A227" s="44"/>
      <c r="B227" s="44"/>
      <c r="C227" s="44"/>
      <c r="D227" s="44"/>
      <c r="E227" s="45"/>
      <c r="F227" s="46"/>
      <c r="G227" s="47"/>
      <c r="H227" s="48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9"/>
      <c r="T227" s="44"/>
      <c r="U227" s="44"/>
      <c r="V227" s="44"/>
      <c r="W227" s="44"/>
      <c r="X227" s="44"/>
      <c r="Y227" s="44"/>
      <c r="Z227" s="44"/>
      <c r="AA227" s="44"/>
      <c r="AB227" s="44"/>
    </row>
    <row r="228" ht="25.5" customHeight="1">
      <c r="A228" s="44"/>
      <c r="B228" s="44"/>
      <c r="C228" s="44"/>
      <c r="D228" s="44"/>
      <c r="E228" s="45"/>
      <c r="F228" s="46"/>
      <c r="G228" s="47"/>
      <c r="H228" s="48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9"/>
      <c r="T228" s="44"/>
      <c r="U228" s="44"/>
      <c r="V228" s="44"/>
      <c r="W228" s="44"/>
      <c r="X228" s="44"/>
      <c r="Y228" s="44"/>
      <c r="Z228" s="44"/>
      <c r="AA228" s="44"/>
      <c r="AB228" s="44"/>
    </row>
    <row r="229" ht="25.5" customHeight="1">
      <c r="A229" s="44"/>
      <c r="B229" s="44"/>
      <c r="C229" s="44"/>
      <c r="D229" s="44"/>
      <c r="E229" s="45"/>
      <c r="F229" s="46"/>
      <c r="G229" s="47"/>
      <c r="H229" s="48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9"/>
      <c r="T229" s="44"/>
      <c r="U229" s="44"/>
      <c r="V229" s="44"/>
      <c r="W229" s="44"/>
      <c r="X229" s="44"/>
      <c r="Y229" s="44"/>
      <c r="Z229" s="44"/>
      <c r="AA229" s="44"/>
      <c r="AB229" s="44"/>
    </row>
    <row r="230" ht="25.5" customHeight="1">
      <c r="A230" s="44"/>
      <c r="B230" s="44"/>
      <c r="C230" s="44"/>
      <c r="D230" s="44"/>
      <c r="E230" s="45"/>
      <c r="F230" s="46"/>
      <c r="G230" s="47"/>
      <c r="H230" s="48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9"/>
      <c r="T230" s="44"/>
      <c r="U230" s="44"/>
      <c r="V230" s="44"/>
      <c r="W230" s="44"/>
      <c r="X230" s="44"/>
      <c r="Y230" s="44"/>
      <c r="Z230" s="44"/>
      <c r="AA230" s="44"/>
      <c r="AB230" s="44"/>
    </row>
    <row r="231" ht="25.5" customHeight="1">
      <c r="A231" s="44"/>
      <c r="B231" s="44"/>
      <c r="C231" s="44"/>
      <c r="D231" s="44"/>
      <c r="E231" s="45"/>
      <c r="F231" s="46"/>
      <c r="G231" s="47"/>
      <c r="H231" s="48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9"/>
      <c r="T231" s="44"/>
      <c r="U231" s="44"/>
      <c r="V231" s="44"/>
      <c r="W231" s="44"/>
      <c r="X231" s="44"/>
      <c r="Y231" s="44"/>
      <c r="Z231" s="44"/>
      <c r="AA231" s="44"/>
      <c r="AB231" s="44"/>
    </row>
    <row r="232" ht="25.5" customHeight="1">
      <c r="A232" s="44"/>
      <c r="B232" s="44"/>
      <c r="C232" s="44"/>
      <c r="D232" s="44"/>
      <c r="E232" s="45"/>
      <c r="F232" s="46"/>
      <c r="G232" s="47"/>
      <c r="H232" s="48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9"/>
      <c r="T232" s="44"/>
      <c r="U232" s="44"/>
      <c r="V232" s="44"/>
      <c r="W232" s="44"/>
      <c r="X232" s="44"/>
      <c r="Y232" s="44"/>
      <c r="Z232" s="44"/>
      <c r="AA232" s="44"/>
      <c r="AB232" s="44"/>
    </row>
    <row r="233" ht="25.5" customHeight="1">
      <c r="A233" s="44"/>
      <c r="B233" s="44"/>
      <c r="C233" s="44"/>
      <c r="D233" s="44"/>
      <c r="E233" s="45"/>
      <c r="F233" s="46"/>
      <c r="G233" s="47"/>
      <c r="H233" s="48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9"/>
      <c r="T233" s="44"/>
      <c r="U233" s="44"/>
      <c r="V233" s="44"/>
      <c r="W233" s="44"/>
      <c r="X233" s="44"/>
      <c r="Y233" s="44"/>
      <c r="Z233" s="44"/>
      <c r="AA233" s="44"/>
      <c r="AB233" s="44"/>
    </row>
    <row r="234" ht="25.5" customHeight="1">
      <c r="A234" s="44"/>
      <c r="B234" s="44"/>
      <c r="C234" s="44"/>
      <c r="D234" s="44"/>
      <c r="E234" s="45"/>
      <c r="F234" s="46"/>
      <c r="G234" s="47"/>
      <c r="H234" s="48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9"/>
      <c r="T234" s="44"/>
      <c r="U234" s="44"/>
      <c r="V234" s="44"/>
      <c r="W234" s="44"/>
      <c r="X234" s="44"/>
      <c r="Y234" s="44"/>
      <c r="Z234" s="44"/>
      <c r="AA234" s="44"/>
      <c r="AB234" s="44"/>
    </row>
    <row r="235" ht="25.5" customHeight="1">
      <c r="A235" s="44"/>
      <c r="B235" s="44"/>
      <c r="C235" s="44"/>
      <c r="D235" s="44"/>
      <c r="E235" s="45"/>
      <c r="F235" s="46"/>
      <c r="G235" s="47"/>
      <c r="H235" s="48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9"/>
      <c r="T235" s="44"/>
      <c r="U235" s="44"/>
      <c r="V235" s="44"/>
      <c r="W235" s="44"/>
      <c r="X235" s="44"/>
      <c r="Y235" s="44"/>
      <c r="Z235" s="44"/>
      <c r="AA235" s="44"/>
      <c r="AB235" s="44"/>
    </row>
    <row r="236" ht="25.5" customHeight="1">
      <c r="A236" s="44"/>
      <c r="B236" s="44"/>
      <c r="C236" s="44"/>
      <c r="D236" s="44"/>
      <c r="E236" s="45"/>
      <c r="F236" s="46"/>
      <c r="G236" s="47"/>
      <c r="H236" s="48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9"/>
      <c r="T236" s="44"/>
      <c r="U236" s="44"/>
      <c r="V236" s="44"/>
      <c r="W236" s="44"/>
      <c r="X236" s="44"/>
      <c r="Y236" s="44"/>
      <c r="Z236" s="44"/>
      <c r="AA236" s="44"/>
      <c r="AB236" s="44"/>
    </row>
    <row r="237" ht="25.5" customHeight="1">
      <c r="A237" s="44"/>
      <c r="B237" s="44"/>
      <c r="C237" s="44"/>
      <c r="D237" s="44"/>
      <c r="E237" s="45"/>
      <c r="F237" s="46"/>
      <c r="G237" s="47"/>
      <c r="H237" s="48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9"/>
      <c r="T237" s="44"/>
      <c r="U237" s="44"/>
      <c r="V237" s="44"/>
      <c r="W237" s="44"/>
      <c r="X237" s="44"/>
      <c r="Y237" s="44"/>
      <c r="Z237" s="44"/>
      <c r="AA237" s="44"/>
      <c r="AB237" s="44"/>
    </row>
    <row r="238" ht="25.5" customHeight="1">
      <c r="A238" s="44"/>
      <c r="B238" s="44"/>
      <c r="C238" s="44"/>
      <c r="D238" s="44"/>
      <c r="E238" s="45"/>
      <c r="F238" s="46"/>
      <c r="G238" s="47"/>
      <c r="H238" s="48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9"/>
      <c r="T238" s="44"/>
      <c r="U238" s="44"/>
      <c r="V238" s="44"/>
      <c r="W238" s="44"/>
      <c r="X238" s="44"/>
      <c r="Y238" s="44"/>
      <c r="Z238" s="44"/>
      <c r="AA238" s="44"/>
      <c r="AB238" s="44"/>
    </row>
    <row r="239" ht="25.5" customHeight="1">
      <c r="A239" s="44"/>
      <c r="B239" s="44"/>
      <c r="C239" s="44"/>
      <c r="D239" s="44"/>
      <c r="E239" s="45"/>
      <c r="F239" s="46"/>
      <c r="G239" s="47"/>
      <c r="H239" s="48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9"/>
      <c r="T239" s="44"/>
      <c r="U239" s="44"/>
      <c r="V239" s="44"/>
      <c r="W239" s="44"/>
      <c r="X239" s="44"/>
      <c r="Y239" s="44"/>
      <c r="Z239" s="44"/>
      <c r="AA239" s="44"/>
      <c r="AB239" s="44"/>
    </row>
    <row r="240" ht="25.5" customHeight="1">
      <c r="A240" s="44"/>
      <c r="B240" s="44"/>
      <c r="C240" s="44"/>
      <c r="D240" s="44"/>
      <c r="E240" s="45"/>
      <c r="F240" s="46"/>
      <c r="G240" s="47"/>
      <c r="H240" s="48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9"/>
      <c r="T240" s="44"/>
      <c r="U240" s="44"/>
      <c r="V240" s="44"/>
      <c r="W240" s="44"/>
      <c r="X240" s="44"/>
      <c r="Y240" s="44"/>
      <c r="Z240" s="44"/>
      <c r="AA240" s="44"/>
      <c r="AB240" s="44"/>
    </row>
    <row r="241" ht="25.5" customHeight="1">
      <c r="A241" s="44"/>
      <c r="B241" s="44"/>
      <c r="C241" s="44"/>
      <c r="D241" s="44"/>
      <c r="E241" s="45"/>
      <c r="F241" s="46"/>
      <c r="G241" s="47"/>
      <c r="H241" s="48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9"/>
      <c r="T241" s="44"/>
      <c r="U241" s="44"/>
      <c r="V241" s="44"/>
      <c r="W241" s="44"/>
      <c r="X241" s="44"/>
      <c r="Y241" s="44"/>
      <c r="Z241" s="44"/>
      <c r="AA241" s="44"/>
      <c r="AB241" s="44"/>
    </row>
    <row r="242" ht="25.5" customHeight="1">
      <c r="A242" s="44"/>
      <c r="B242" s="44"/>
      <c r="C242" s="44"/>
      <c r="D242" s="44"/>
      <c r="E242" s="45"/>
      <c r="F242" s="46"/>
      <c r="G242" s="47"/>
      <c r="H242" s="48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9"/>
      <c r="T242" s="44"/>
      <c r="U242" s="44"/>
      <c r="V242" s="44"/>
      <c r="W242" s="44"/>
      <c r="X242" s="44"/>
      <c r="Y242" s="44"/>
      <c r="Z242" s="44"/>
      <c r="AA242" s="44"/>
      <c r="AB242" s="44"/>
    </row>
  </sheetData>
  <dataValidations>
    <dataValidation type="list" allowBlank="1" sqref="AA2:AA151">
      <formula1>"Diego e Laís - Pedro e Marli,Fábio e Scheila - Carlos e Dida,Ayrton e Veruska - Erielton e Schaiany ,Glênio e Jil,Sem Grupo"</formula1>
    </dataValidation>
    <dataValidation type="list" allowBlank="1" sqref="K2:K151">
      <formula1>"Casado(a),Solteiro(a),Divorciado(a),Viúvo(a)"</formula1>
    </dataValidation>
    <dataValidation type="list" allowBlank="1" sqref="V2:V151">
      <formula1>"Ativo,Desligado"</formula1>
    </dataValidation>
    <dataValidation type="list" allowBlank="1" sqref="Y2:Y151">
      <formula1>"0 a 6 anos: Infância,7 a 10 anos: Criança,11 a 17 anos: Adolescente,18 a 35 anos: Jovem,36 a 59 anos: Adulto,30 a 59 anos: Adulto,60+ anos,30 a 59 anos: Adulto,60+ anos,18 a 29 anos: Jovem,0 a 6 anos: Primeira infância,11 a 17 anos: Adolescente,7 a 10 ano"&amp;"s: Criança,11 a 17 anos: Adolescente,18 a 35 anos: Jovem,18 a 35 anos: Jovem,36 a 59 anos: Adulto,0 a 6 anos: Infância,11 a 17 anos: Adolescente"</formula1>
    </dataValidation>
    <dataValidation type="list" allowBlank="1" sqref="T2:T151">
      <formula1>"Sim,Não,Sim,Não"</formula1>
    </dataValidation>
    <dataValidation type="custom" allowBlank="1" showDropDown="1" sqref="E2:E151">
      <formula1>OR(NOT(ISERROR(DATEVALUE(E2))), AND(ISNUMBER(E2), LEFT(CELL("format", E2))="D"))</formula1>
    </dataValidation>
    <dataValidation type="list" allowBlank="1" sqref="U2:U151 W2:X151 Z2:Z151">
      <formula1>"Sim,Não"</formula1>
    </dataValidation>
    <dataValidation type="list" allowBlank="1" sqref="I2:I151">
      <formula1>"Masculino,Feminino,Masculino,Feminino"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